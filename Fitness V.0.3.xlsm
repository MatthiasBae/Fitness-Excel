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Projekte\Fitness Excel\"/>
    </mc:Choice>
  </mc:AlternateContent>
  <xr:revisionPtr revIDLastSave="0" documentId="13_ncr:1_{52FCFB36-D512-4327-A29F-EAFCA43B3943}" xr6:coauthVersionLast="47" xr6:coauthVersionMax="47" xr10:uidLastSave="{00000000-0000-0000-0000-000000000000}"/>
  <bookViews>
    <workbookView xWindow="38290" yWindow="-110" windowWidth="38620" windowHeight="21100" activeTab="2" xr2:uid="{485ED025-1F83-4FAD-83EC-87E03AF81F02}"/>
  </bookViews>
  <sheets>
    <sheet name="Dashboard" sheetId="1" r:id="rId1"/>
    <sheet name="Dashboard Ernährung" sheetId="4" r:id="rId2"/>
    <sheet name="Dashboard Lebensmittel" sheetId="24" r:id="rId3"/>
    <sheet name="Dashboard Körper" sheetId="13" r:id="rId4"/>
    <sheet name="Einstellungen" sheetId="7" r:id="rId5"/>
    <sheet name="Rohdaten_Arbeitstage" sheetId="22" r:id="rId6"/>
    <sheet name="Stammdaten_Trainingsarten" sheetId="23" r:id="rId7"/>
    <sheet name="Rohdaten_Zusammenfassung" sheetId="15" r:id="rId8"/>
    <sheet name="Rohdaten_Nährstoffverteilung" sheetId="18" r:id="rId9"/>
    <sheet name="Rohdaten_PlanMahlzeit" sheetId="9" r:id="rId10"/>
    <sheet name="Rohdaten_MahlzeitLebensmittel" sheetId="10" r:id="rId11"/>
    <sheet name="Rohdaten_Lebensmittel" sheetId="3" r:id="rId12"/>
    <sheet name="Rohdaten_LebensmittelEinheiten" sheetId="8" r:id="rId13"/>
    <sheet name="Rohdaten_Aktivitäten" sheetId="16" state="hidden" r:id="rId14"/>
    <sheet name="Rohdaten_Körper" sheetId="12" state="hidden" r:id="rId15"/>
    <sheet name="Rohdaten_KPIs" sheetId="19" state="hidden" r:id="rId16"/>
    <sheet name="Rohdaten_Kalorienformeln" sheetId="20" r:id="rId17"/>
    <sheet name="Templates" sheetId="6" r:id="rId18"/>
  </sheets>
  <functionGroups builtInGroupCount="19"/>
  <definedNames>
    <definedName name="_xlnm._FilterDatabase" localSheetId="11" hidden="1">Rohdaten_Lebensmittel!$A$1:$T$47</definedName>
    <definedName name="_xlnm._FilterDatabase" localSheetId="10" hidden="1">Rohdaten_MahlzeitLebensmittel!$A$1:$N$9</definedName>
    <definedName name="_xlnm._FilterDatabase" localSheetId="9" hidden="1">Rohdaten_PlanMahlzeit!$A$1:$D$9</definedName>
    <definedName name="Check_Nt_IsCheatmeal">'Dashboard Ernährung'!$R$26</definedName>
    <definedName name="List_Bd_BodyEntries">'Dashboard Körper'!$G$11:$L$54</definedName>
    <definedName name="List_Fd_FoodEntries" localSheetId="2">'Dashboard Lebensmittel'!$G$11:$L$54</definedName>
    <definedName name="List_Fd_FoodSelectedUnits">'Dashboard Lebensmittel'!$O$23</definedName>
    <definedName name="List_Nt_FoodEntries">'Dashboard Ernährung'!$G$11:$L$54</definedName>
    <definedName name="List_Nt_FoodSelectedUnits">'Dashboard Ernährung'!$P$19</definedName>
    <definedName name="List_Nt_PlanEntries">'Dashboard Ernährung'!$T$11:$Y$56</definedName>
    <definedName name="List_Nt_Weekday">'Dashboard Ernährung'!$R$24</definedName>
    <definedName name="List_St_CaloriesFormulaSource">Einstellungen!$B$25</definedName>
    <definedName name="List_St_FormulaTypes">Einstellungen!$M$29</definedName>
    <definedName name="List_St_KPIs">Einstellungen!$M$25</definedName>
    <definedName name="NutritionDashboardNavigationBar" localSheetId="2">'Dashboard Lebensmittel'!$A$8:$S$10</definedName>
    <definedName name="NutritionDashboardNavigationBar">'Dashboard Ernährung'!$A$8:$AF$10</definedName>
    <definedName name="Text_Bd_SearchDateFrom">'Dashboard Körper'!$B$16</definedName>
    <definedName name="Text_Bd_SearchFat">'Dashboard Körper'!$D$19</definedName>
    <definedName name="Text_Bd_SearchWeight">'Dashboard Körper'!$B$19</definedName>
    <definedName name="Text_Fd_FoodSelectedBrand" localSheetId="2">'Dashboard Lebensmittel'!$O$17</definedName>
    <definedName name="Text_Fd_FoodSelectedName" localSheetId="2">'Dashboard Lebensmittel'!$O$15</definedName>
    <definedName name="Text_Fd_SearchBrand" localSheetId="2">'Dashboard Lebensmittel'!$B$19</definedName>
    <definedName name="Text_Fd_SearchFood" localSheetId="2">'Dashboard Lebensmittel'!$B$16</definedName>
    <definedName name="Text_Fd_SearchTop" localSheetId="2">'Dashboard Lebensmittel'!$C$24</definedName>
    <definedName name="Text_Fd_SelectedFoodUnitAmount">'Dashboard Lebensmittel'!$O$25</definedName>
    <definedName name="Text_Nt_DateFrom">'Dashboard Ernährung'!$O$24</definedName>
    <definedName name="Text_Nt_DateTo">'Dashboard Ernährung'!$O$26</definedName>
    <definedName name="Text_Nt_FoodSelectedAmount">'Dashboard Ernährung'!$O$19</definedName>
    <definedName name="Text_Nt_FoodSelectedBrand">'Dashboard Ernährung'!$O$17</definedName>
    <definedName name="Text_Nt_FoodSelectedName">'Dashboard Ernährung'!$O$15</definedName>
    <definedName name="Text_Nt_MealId">'Dashboard Ernährung'!$O$28</definedName>
    <definedName name="Text_Nt_SearchBrand">'Dashboard Ernährung'!$B$19</definedName>
    <definedName name="Text_Nt_SearchFood">'Dashboard Ernährung'!$B$16</definedName>
    <definedName name="Text_Nt_SearchTop">'Dashboard Ernährung'!$C$24</definedName>
    <definedName name="Text_St_Age">Einstellungen!$B$14</definedName>
    <definedName name="Text_St_Birthday">Einstellungen!$B$11</definedName>
    <definedName name="Text_St_CaloriesFormulaResult">Einstellungen!$P$35</definedName>
    <definedName name="Text_St_CaloriesFormulaText">Einstellungen!$P$29</definedName>
    <definedName name="Text_St_CaloriesFormulaValues">Einstellungen!$P$32</definedName>
    <definedName name="Text_St_Gender">Einstellungen!$D$14</definedName>
    <definedName name="Text_St_Size">Einstellungen!$D$11</definedName>
    <definedName name="Text_St_StartDate">Einstellungen!$F$11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" i="10" l="1"/>
  <c r="J9" i="10"/>
  <c r="K9" i="10"/>
  <c r="L9" i="10"/>
  <c r="M9" i="10"/>
  <c r="N9" i="10"/>
  <c r="I8" i="10"/>
  <c r="J8" i="10"/>
  <c r="K8" i="10"/>
  <c r="L8" i="10"/>
  <c r="M8" i="10"/>
  <c r="N8" i="10"/>
  <c r="I7" i="10"/>
  <c r="J7" i="10"/>
  <c r="K7" i="10"/>
  <c r="L7" i="10"/>
  <c r="M7" i="10"/>
  <c r="N7" i="10"/>
  <c r="I6" i="10"/>
  <c r="J6" i="10"/>
  <c r="K6" i="10"/>
  <c r="L6" i="10"/>
  <c r="M6" i="10"/>
  <c r="N6" i="10"/>
  <c r="I5" i="10"/>
  <c r="J5" i="10"/>
  <c r="K5" i="10"/>
  <c r="L5" i="10"/>
  <c r="M5" i="10"/>
  <c r="N5" i="10"/>
  <c r="I4" i="10"/>
  <c r="J4" i="10"/>
  <c r="K4" i="10"/>
  <c r="L4" i="10"/>
  <c r="M4" i="10"/>
  <c r="N4" i="10"/>
  <c r="I3" i="10"/>
  <c r="J3" i="10"/>
  <c r="K3" i="10"/>
  <c r="L3" i="10"/>
  <c r="M3" i="10"/>
  <c r="N3" i="10"/>
  <c r="B11" i="15"/>
  <c r="D11" i="15" s="1"/>
  <c r="K2" i="15"/>
  <c r="K3" i="15"/>
  <c r="K4" i="15"/>
  <c r="K5" i="15"/>
  <c r="K6" i="15"/>
  <c r="K7" i="15"/>
  <c r="K8" i="15"/>
  <c r="K9" i="15"/>
  <c r="K10" i="15"/>
  <c r="K11" i="15"/>
  <c r="J2" i="15"/>
  <c r="J3" i="15"/>
  <c r="J4" i="15"/>
  <c r="J5" i="15"/>
  <c r="J6" i="15"/>
  <c r="J7" i="15"/>
  <c r="J8" i="15"/>
  <c r="J9" i="15"/>
  <c r="J10" i="15"/>
  <c r="J11" i="15"/>
  <c r="P35" i="7"/>
  <c r="I2" i="10"/>
  <c r="J2" i="10"/>
  <c r="K2" i="10"/>
  <c r="L2" i="10"/>
  <c r="M2" i="10"/>
  <c r="N2" i="10"/>
  <c r="A48" i="8"/>
  <c r="AB17" i="4"/>
  <c r="AC17" i="4" s="1"/>
  <c r="H3" i="18"/>
  <c r="C11" i="15"/>
  <c r="G11" i="15"/>
  <c r="H11" i="15"/>
  <c r="C10" i="15"/>
  <c r="G10" i="15"/>
  <c r="H10" i="15"/>
  <c r="C9" i="15"/>
  <c r="G9" i="15"/>
  <c r="H9" i="15"/>
  <c r="C8" i="15"/>
  <c r="G8" i="15"/>
  <c r="H8" i="15"/>
  <c r="C7" i="15"/>
  <c r="G7" i="15"/>
  <c r="H7" i="15"/>
  <c r="B6" i="15"/>
  <c r="C6" i="15"/>
  <c r="G6" i="15"/>
  <c r="H6" i="15"/>
  <c r="C5" i="15"/>
  <c r="G5" i="15"/>
  <c r="H5" i="15"/>
  <c r="H2" i="15"/>
  <c r="H3" i="15"/>
  <c r="H4" i="15"/>
  <c r="G2" i="15"/>
  <c r="G3" i="15"/>
  <c r="G4" i="15"/>
  <c r="C2" i="15"/>
  <c r="C3" i="15"/>
  <c r="C4" i="15"/>
  <c r="B4" i="15"/>
  <c r="B2" i="15"/>
  <c r="A2" i="12"/>
  <c r="C2" i="19" s="1"/>
  <c r="B3" i="15"/>
  <c r="AA12" i="4"/>
  <c r="H2" i="18"/>
  <c r="E2" i="20"/>
  <c r="E5" i="20"/>
  <c r="E4" i="20"/>
  <c r="C4" i="19"/>
  <c r="B14" i="7"/>
  <c r="C5" i="19" s="1"/>
  <c r="U11" i="3"/>
  <c r="U12" i="3"/>
  <c r="U13" i="3"/>
  <c r="U14" i="3"/>
  <c r="U15" i="3"/>
  <c r="U16" i="3"/>
  <c r="U2" i="3"/>
  <c r="U17" i="3"/>
  <c r="U4" i="3"/>
  <c r="U18" i="3"/>
  <c r="U19" i="3"/>
  <c r="U8" i="3"/>
  <c r="U20" i="3"/>
  <c r="U21" i="3"/>
  <c r="U22" i="3"/>
  <c r="U3" i="3"/>
  <c r="U23" i="3"/>
  <c r="U24" i="3"/>
  <c r="U6" i="3"/>
  <c r="U25" i="3"/>
  <c r="U26" i="3"/>
  <c r="U5" i="3"/>
  <c r="U9" i="3"/>
  <c r="U10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7" i="3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2" i="8"/>
  <c r="B3" i="19"/>
  <c r="B5" i="19"/>
  <c r="B4" i="19"/>
  <c r="B2" i="19"/>
  <c r="AF17" i="4" l="1"/>
  <c r="AD17" i="4"/>
  <c r="AE17" i="4" s="1"/>
  <c r="B7" i="15"/>
  <c r="D7" i="15" s="1"/>
  <c r="B5" i="15"/>
  <c r="D5" i="15" s="1"/>
  <c r="B9" i="15"/>
  <c r="D9" i="15" s="1"/>
  <c r="B10" i="15"/>
  <c r="D10" i="15" s="1"/>
  <c r="B8" i="15"/>
  <c r="D8" i="15" s="1"/>
  <c r="F10" i="15"/>
  <c r="E10" i="15"/>
  <c r="F11" i="15"/>
  <c r="E11" i="15"/>
  <c r="F9" i="15"/>
  <c r="E9" i="15"/>
  <c r="D6" i="15"/>
  <c r="F8" i="15"/>
  <c r="E8" i="15"/>
  <c r="F7" i="15"/>
  <c r="E7" i="15"/>
  <c r="F6" i="15"/>
  <c r="E5" i="15"/>
  <c r="E6" i="15"/>
  <c r="F5" i="15"/>
  <c r="D4" i="15"/>
  <c r="F3" i="15"/>
  <c r="E3" i="15"/>
  <c r="F4" i="15"/>
  <c r="E4" i="15"/>
  <c r="D3" i="15"/>
  <c r="F2" i="15"/>
  <c r="E2" i="15"/>
  <c r="D2" i="15"/>
  <c r="C3" i="19"/>
  <c r="AB18" i="4"/>
  <c r="AB20" i="4" s="1"/>
  <c r="AC18" i="4"/>
  <c r="AC20" i="4" s="1"/>
  <c r="AD18" i="4"/>
  <c r="AF18" i="4"/>
  <c r="AE18" i="4"/>
  <c r="AF20" i="4" l="1"/>
  <c r="AE20" i="4"/>
  <c r="AD20" i="4"/>
</calcChain>
</file>

<file path=xl/sharedStrings.xml><?xml version="1.0" encoding="utf-8"?>
<sst xmlns="http://schemas.openxmlformats.org/spreadsheetml/2006/main" count="541" uniqueCount="206">
  <si>
    <t>Id</t>
  </si>
  <si>
    <t>UserId</t>
  </si>
  <si>
    <t>Energy</t>
  </si>
  <si>
    <t>Monster</t>
  </si>
  <si>
    <t>ml</t>
  </si>
  <si>
    <t>Mais</t>
  </si>
  <si>
    <t>Gut &amp; Günstig</t>
  </si>
  <si>
    <t>Gramm</t>
  </si>
  <si>
    <t>Ei</t>
  </si>
  <si>
    <t/>
  </si>
  <si>
    <t>Dinkel-Spaghetti</t>
  </si>
  <si>
    <t>Dorfmühle</t>
  </si>
  <si>
    <t>Clean Concentrate ZITRONENCREME</t>
  </si>
  <si>
    <t>Zec+</t>
  </si>
  <si>
    <t>Döner Kebab</t>
  </si>
  <si>
    <t>döner</t>
  </si>
  <si>
    <t>Banane</t>
  </si>
  <si>
    <t>Haferflocken</t>
  </si>
  <si>
    <t>Zarte Haferflocken</t>
  </si>
  <si>
    <t>K-Classic</t>
  </si>
  <si>
    <t>Rinder Hackfleisch Light</t>
  </si>
  <si>
    <t>Purland</t>
  </si>
  <si>
    <t>Gazoz</t>
  </si>
  <si>
    <t>Uludag</t>
  </si>
  <si>
    <t>Gouda in Scheiben</t>
  </si>
  <si>
    <t>Hähnchenbrust Filetroulade</t>
  </si>
  <si>
    <t>Cordon Bleu</t>
  </si>
  <si>
    <t>Kartoffeln</t>
  </si>
  <si>
    <t>Speisequark Magerstufe</t>
  </si>
  <si>
    <t>Ja!</t>
  </si>
  <si>
    <t>Harry</t>
  </si>
  <si>
    <t>Scheibe</t>
  </si>
  <si>
    <t>Rindertatar</t>
  </si>
  <si>
    <t>Metzger</t>
  </si>
  <si>
    <t>Reis</t>
  </si>
  <si>
    <t>Hähnchen, gebraten</t>
  </si>
  <si>
    <t>Bratkartoffeln</t>
  </si>
  <si>
    <t>Frikadelle</t>
  </si>
  <si>
    <t>kleine Frikadelle</t>
  </si>
  <si>
    <t>Pizzabrötchen Salami</t>
  </si>
  <si>
    <t>Fabios</t>
  </si>
  <si>
    <t>Chili Cheese Nuggets</t>
  </si>
  <si>
    <t>Tortellini mit Fleischfüllung</t>
  </si>
  <si>
    <t>Bueno</t>
  </si>
  <si>
    <t>Kinder</t>
  </si>
  <si>
    <t>Riegel</t>
  </si>
  <si>
    <t>Rinderhackfleisch Fettreduziert</t>
  </si>
  <si>
    <t>Kartoffelpüree</t>
  </si>
  <si>
    <t>Vital + Fit Brot</t>
  </si>
  <si>
    <t>Pulled Pork</t>
  </si>
  <si>
    <t>Like Meat</t>
  </si>
  <si>
    <t>Ofenkartoffel</t>
  </si>
  <si>
    <t>Gourmet Schinken</t>
  </si>
  <si>
    <t>Joghurt Mild 0,1% Fett</t>
  </si>
  <si>
    <t>Hähnchen Geschnetzeltes</t>
  </si>
  <si>
    <t>Wilhelm Brandenburg</t>
  </si>
  <si>
    <t>Langkorn Spitzen Reis</t>
  </si>
  <si>
    <t>Creme Fraiche</t>
  </si>
  <si>
    <t>Avocado, roh</t>
  </si>
  <si>
    <t>Fruchtgummi Assortie</t>
  </si>
  <si>
    <t>Red Band</t>
  </si>
  <si>
    <t>Energy Drink</t>
  </si>
  <si>
    <t>Gummibären</t>
  </si>
  <si>
    <t>Haribo</t>
  </si>
  <si>
    <t>Coca Cola (Cola)</t>
  </si>
  <si>
    <t>Cheese &amp; Onion</t>
  </si>
  <si>
    <t>Pringles</t>
  </si>
  <si>
    <t>Protein Cheese</t>
  </si>
  <si>
    <t>Eatlean</t>
  </si>
  <si>
    <t>Kickdown Blackberry</t>
  </si>
  <si>
    <t>Whey Connection Professional</t>
  </si>
  <si>
    <t>Fruchtgummi Schnuller</t>
  </si>
  <si>
    <t>Kaufland</t>
  </si>
  <si>
    <t>FitbitId</t>
  </si>
  <si>
    <t>GlykIndex</t>
  </si>
  <si>
    <t>Vegan</t>
  </si>
  <si>
    <t>Gluten</t>
  </si>
  <si>
    <t>Nutritionscore</t>
  </si>
  <si>
    <t>Lifehandler</t>
  </si>
  <si>
    <t>A</t>
  </si>
  <si>
    <t>Keine Beschreibung vorhanden</t>
  </si>
  <si>
    <t>www.zecplus.de</t>
  </si>
  <si>
    <t>Datenquelle</t>
  </si>
  <si>
    <t>Geplant</t>
  </si>
  <si>
    <t>Datum</t>
  </si>
  <si>
    <t>MahlzeitenId</t>
  </si>
  <si>
    <t>Mahlzeit</t>
  </si>
  <si>
    <t>Nahrungsmittel</t>
  </si>
  <si>
    <t>Marke</t>
  </si>
  <si>
    <t>Einheit</t>
  </si>
  <si>
    <t>Menge</t>
  </si>
  <si>
    <t>Kalorien</t>
  </si>
  <si>
    <t>Proteine</t>
  </si>
  <si>
    <t>Kohlenhydrate</t>
  </si>
  <si>
    <t>Zucker</t>
  </si>
  <si>
    <t>Fett</t>
  </si>
  <si>
    <t>Ballaststoffe</t>
  </si>
  <si>
    <t>NahrungsmittelId</t>
  </si>
  <si>
    <t>VergleichsId</t>
  </si>
  <si>
    <t>Vegetarisch</t>
  </si>
  <si>
    <t>Laden</t>
  </si>
  <si>
    <t>Verpackungsmenge</t>
  </si>
  <si>
    <t>Verpackungspreis</t>
  </si>
  <si>
    <t>KategorieLevel1</t>
  </si>
  <si>
    <t>KategorieLevel2</t>
  </si>
  <si>
    <t>KategorieLevel3</t>
  </si>
  <si>
    <t>Beschreibung</t>
  </si>
  <si>
    <t>Dauer</t>
  </si>
  <si>
    <t>Standardeinheit</t>
  </si>
  <si>
    <t>Portionsmenge</t>
  </si>
  <si>
    <t>Einstellungen</t>
  </si>
  <si>
    <t>Datenbank</t>
  </si>
  <si>
    <t>Dashboard Ernährung</t>
  </si>
  <si>
    <t>Top Lebensmittel</t>
  </si>
  <si>
    <t>Top Anzahl:</t>
  </si>
  <si>
    <t>AnzahlBenutzt</t>
  </si>
  <si>
    <t>zum Plan hinzufügen</t>
  </si>
  <si>
    <t>Mahlzeit Nr.</t>
  </si>
  <si>
    <t>Datum von</t>
  </si>
  <si>
    <t>Datum bis</t>
  </si>
  <si>
    <t>MahlzeitenTyp</t>
  </si>
  <si>
    <t>Ausgewählt</t>
  </si>
  <si>
    <t>Cheatmeal</t>
  </si>
  <si>
    <t>Markenname</t>
  </si>
  <si>
    <t>Außer Wochentag</t>
  </si>
  <si>
    <t>Ist Cheatmeal</t>
  </si>
  <si>
    <r>
      <rPr>
        <b/>
        <sz val="11"/>
        <color theme="0"/>
        <rFont val="Calibri"/>
        <family val="2"/>
        <scheme val="minor"/>
      </rPr>
      <t>Meldung:</t>
    </r>
    <r>
      <rPr>
        <sz val="11"/>
        <color theme="0"/>
        <rFont val="Calibri"/>
        <family val="2"/>
        <scheme val="minor"/>
      </rPr>
      <t xml:space="preserve"> Datum "Von" kann nicht größer als Datum "Bis" sein</t>
    </r>
  </si>
  <si>
    <t>Dashboard</t>
  </si>
  <si>
    <t>Gewicht</t>
  </si>
  <si>
    <t>BMI</t>
  </si>
  <si>
    <t>Von</t>
  </si>
  <si>
    <t>Dashboard Körper</t>
  </si>
  <si>
    <t>Gewicht in Kg</t>
  </si>
  <si>
    <t>Körperfett in %</t>
  </si>
  <si>
    <t>Kalorien gegessen</t>
  </si>
  <si>
    <t>Gearbeitet</t>
  </si>
  <si>
    <t>Homeoffice</t>
  </si>
  <si>
    <t>Schritte</t>
  </si>
  <si>
    <t>Distanz</t>
  </si>
  <si>
    <t>Herzfrequenz</t>
  </si>
  <si>
    <t>Kalorien Differenz</t>
  </si>
  <si>
    <t>Etagen</t>
  </si>
  <si>
    <t>Kalorien Aktivitätsbedarf</t>
  </si>
  <si>
    <t>Kalorien Ruhebedarf</t>
  </si>
  <si>
    <t>Ist</t>
  </si>
  <si>
    <t>Soll</t>
  </si>
  <si>
    <t>Verteilung</t>
  </si>
  <si>
    <t>Kalorien in Kcal.</t>
  </si>
  <si>
    <t>Proteine in %</t>
  </si>
  <si>
    <t>Kohlenhydrate in %</t>
  </si>
  <si>
    <t>Zucker in %</t>
  </si>
  <si>
    <t>Ernährung</t>
  </si>
  <si>
    <t>Kalorienberechnung</t>
  </si>
  <si>
    <t>OnlyFitness</t>
  </si>
  <si>
    <t>Kennzahlen</t>
  </si>
  <si>
    <t>Name</t>
  </si>
  <si>
    <t>Formel</t>
  </si>
  <si>
    <t>Wert</t>
  </si>
  <si>
    <t>Aktuelles Gewicht</t>
  </si>
  <si>
    <t>Alter</t>
  </si>
  <si>
    <t>Aktueller KFA</t>
  </si>
  <si>
    <t>Profil</t>
  </si>
  <si>
    <t>Geburstag</t>
  </si>
  <si>
    <t>Größe</t>
  </si>
  <si>
    <t>Größe in cm</t>
  </si>
  <si>
    <t>Startdatum</t>
  </si>
  <si>
    <t>Quelle</t>
  </si>
  <si>
    <t>Geschlecht</t>
  </si>
  <si>
    <t>Typ</t>
  </si>
  <si>
    <t>Grundbedarf</t>
  </si>
  <si>
    <t>Trainingsbedarf</t>
  </si>
  <si>
    <t>Aktivitätsbedarf</t>
  </si>
  <si>
    <t>Formel als Text</t>
  </si>
  <si>
    <t>Formel als Text mit Werten</t>
  </si>
  <si>
    <t>Formel als Wert</t>
  </si>
  <si>
    <t>9,99 * Aktuelles Gewicht + 6,25 * Größe - 4,92*Alter + 5</t>
  </si>
  <si>
    <t>9,99 * 110 + 6,25 * 193 - 4,92*28 + 5</t>
  </si>
  <si>
    <t>864 - 9,72 * Alter + 1,0 * (14,2 * Aktuelles Gewicht + 503 * (Größe/100))</t>
  </si>
  <si>
    <t>864 - 9,72 * 28 + 1,0 * (14,2 * 110 + 503 * (193/100))</t>
  </si>
  <si>
    <t>Gesamtbedarf</t>
  </si>
  <si>
    <t>Fett in %</t>
  </si>
  <si>
    <t>Differenz</t>
  </si>
  <si>
    <t>Kcal.</t>
  </si>
  <si>
    <t>g</t>
  </si>
  <si>
    <t>Formel als Text mit Werten (automatisch ausgefüllt)</t>
  </si>
  <si>
    <t>Formel als Wert (automatisch ausgefüllt)</t>
  </si>
  <si>
    <t>Aktiv</t>
  </si>
  <si>
    <t>&lt;21.7</t>
  </si>
  <si>
    <t>Männlich</t>
  </si>
  <si>
    <t>Nein</t>
  </si>
  <si>
    <t>Aktivitätsfaktor</t>
  </si>
  <si>
    <t>Wochentag</t>
  </si>
  <si>
    <t>Ist Arbeitstag</t>
  </si>
  <si>
    <t>Montag</t>
  </si>
  <si>
    <t>Dienstag</t>
  </si>
  <si>
    <t>Mittwoch</t>
  </si>
  <si>
    <t>Donnerstag</t>
  </si>
  <si>
    <t>Freitag</t>
  </si>
  <si>
    <t>Samstag</t>
  </si>
  <si>
    <t>Sonntag</t>
  </si>
  <si>
    <t>Jobaktivität</t>
  </si>
  <si>
    <t>Trainingsart</t>
  </si>
  <si>
    <t>Aktivität</t>
  </si>
  <si>
    <t>Faktor</t>
  </si>
  <si>
    <t>Dashboard Lebensmittel</t>
  </si>
  <si>
    <t>Einheiten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</si>
</sst>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/>
      <top style="medium">
        <color theme="0" tint="-0.14996795556505021"/>
      </top>
      <bottom/>
      <diagonal/>
    </border>
    <border>
      <left style="medium">
        <color theme="0" tint="-0.14993743705557422"/>
      </left>
      <right/>
      <top/>
      <bottom/>
      <diagonal/>
    </border>
    <border>
      <left style="medium">
        <color theme="0" tint="-0.14993743705557422"/>
      </left>
      <right/>
      <top/>
      <bottom style="medium">
        <color theme="0" tint="-0.1499679555650502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/>
      <top/>
      <bottom style="medium">
        <color theme="0" tint="-0.14993743705557422"/>
      </bottom>
      <diagonal/>
    </border>
    <border>
      <left/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/>
      <bottom style="medium">
        <color theme="0" tint="-0.2499465926084170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1" fillId="2" borderId="0" xfId="0" applyFont="1" applyFill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" fillId="0" borderId="0" xfId="0" applyFont="1" applyFill="1" applyBorder="1"/>
    <xf numFmtId="0" fontId="0" fillId="0" borderId="1" xfId="0" applyFont="1" applyFill="1" applyBorder="1"/>
    <xf numFmtId="0" fontId="0" fillId="0" borderId="17" xfId="0" applyBorder="1"/>
    <xf numFmtId="0" fontId="0" fillId="0" borderId="18" xfId="0" applyBorder="1"/>
    <xf numFmtId="14" fontId="0" fillId="0" borderId="0" xfId="0" applyNumberFormat="1"/>
    <xf numFmtId="14" fontId="7" fillId="0" borderId="8" xfId="0" applyNumberFormat="1" applyFont="1" applyBorder="1" applyAlignment="1">
      <alignment horizontal="center"/>
    </xf>
    <xf numFmtId="0" fontId="0" fillId="0" borderId="0" xfId="0" applyFill="1"/>
    <xf numFmtId="164" fontId="0" fillId="0" borderId="1" xfId="0" applyNumberFormat="1" applyFont="1" applyFill="1" applyBorder="1"/>
    <xf numFmtId="14" fontId="1" fillId="0" borderId="0" xfId="0" applyNumberFormat="1" applyFont="1" applyFill="1" applyBorder="1"/>
    <xf numFmtId="0" fontId="5" fillId="0" borderId="6" xfId="0" applyFont="1" applyBorder="1" applyAlignment="1"/>
    <xf numFmtId="0" fontId="7" fillId="0" borderId="8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0" xfId="0" applyFont="1" applyAlignment="1"/>
    <xf numFmtId="0" fontId="1" fillId="2" borderId="0" xfId="0" applyFont="1" applyFill="1"/>
    <xf numFmtId="0" fontId="0" fillId="0" borderId="0" xfId="0" applyAlignment="1">
      <alignment horizontal="center"/>
    </xf>
    <xf numFmtId="0" fontId="8" fillId="0" borderId="1" xfId="0" applyFont="1" applyFill="1" applyBorder="1"/>
    <xf numFmtId="14" fontId="7" fillId="0" borderId="8" xfId="0" applyNumberFormat="1" applyFont="1" applyBorder="1" applyAlignment="1"/>
    <xf numFmtId="0" fontId="0" fillId="0" borderId="19" xfId="0" applyFont="1" applyBorder="1"/>
    <xf numFmtId="0" fontId="2" fillId="0" borderId="0" xfId="0" applyFont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8" xfId="0" applyBorder="1"/>
    <xf numFmtId="0" fontId="0" fillId="0" borderId="25" xfId="0" applyBorder="1"/>
    <xf numFmtId="0" fontId="2" fillId="0" borderId="0" xfId="0" applyFont="1" applyBorder="1"/>
    <xf numFmtId="0" fontId="0" fillId="0" borderId="0" xfId="0" applyBorder="1" applyAlignment="1">
      <alignment horizontal="center"/>
    </xf>
    <xf numFmtId="0" fontId="7" fillId="0" borderId="0" xfId="0" applyFont="1" applyBorder="1"/>
    <xf numFmtId="1" fontId="0" fillId="0" borderId="26" xfId="0" applyNumberFormat="1" applyBorder="1" applyAlignment="1">
      <alignment horizontal="center"/>
    </xf>
    <xf numFmtId="1" fontId="0" fillId="3" borderId="1" xfId="0" applyNumberFormat="1" applyFont="1" applyFill="1" applyBorder="1"/>
    <xf numFmtId="14" fontId="0" fillId="0" borderId="26" xfId="0" applyNumberFormat="1" applyBorder="1" applyAlignment="1">
      <alignment horizontal="left"/>
    </xf>
    <xf numFmtId="1" fontId="0" fillId="0" borderId="26" xfId="0" applyNumberFormat="1" applyBorder="1" applyAlignment="1">
      <alignment horizontal="left"/>
    </xf>
    <xf numFmtId="0" fontId="7" fillId="0" borderId="0" xfId="0" applyFont="1" applyAlignment="1">
      <alignment horizontal="center"/>
    </xf>
    <xf numFmtId="0" fontId="5" fillId="0" borderId="0" xfId="0" applyFont="1" applyAlignment="1"/>
    <xf numFmtId="14" fontId="1" fillId="2" borderId="0" xfId="0" applyNumberFormat="1" applyFont="1" applyFill="1" applyBorder="1"/>
    <xf numFmtId="0" fontId="7" fillId="0" borderId="8" xfId="0" applyNumberFormat="1" applyFont="1" applyBorder="1" applyAlignment="1">
      <alignment horizontal="center"/>
    </xf>
    <xf numFmtId="0" fontId="0" fillId="0" borderId="0" xfId="0" applyNumberFormat="1"/>
    <xf numFmtId="0" fontId="7" fillId="0" borderId="8" xfId="0" applyFont="1" applyBorder="1" applyAlignment="1">
      <alignment horizontal="center"/>
    </xf>
    <xf numFmtId="14" fontId="8" fillId="0" borderId="0" xfId="0" applyNumberFormat="1" applyFont="1" applyFill="1"/>
    <xf numFmtId="14" fontId="0" fillId="0" borderId="0" xfId="0" applyNumberFormat="1" applyFont="1" applyFill="1"/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9" fillId="0" borderId="0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0" fillId="0" borderId="26" xfId="0" applyBorder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0" xfId="0" applyFont="1" applyBorder="1" applyAlignment="1">
      <alignment horizontal="left"/>
    </xf>
  </cellXfs>
  <cellStyles count="1">
    <cellStyle name="Standard" xfId="0" builtinId="0"/>
  </cellStyles>
  <dxfs count="118">
    <dxf>
      <font>
        <b val="0"/>
        <i/>
        <strike val="0"/>
        <color rgb="FFC00000"/>
      </font>
    </dxf>
    <dxf>
      <numFmt numFmtId="19" formatCode="m/d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right style="thin">
          <color theme="4" tint="0.39997558519241921"/>
        </righ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6969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Soll/Ist- Vergleich Makronährstoffe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Ernährung'!$AA$17</c:f>
              <c:strCache>
                <c:ptCount val="1"/>
                <c:pt idx="0">
                  <c:v>Soll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Ernährung'!$AB$17:$AF$17</c15:sqref>
                  </c15:fullRef>
                </c:ext>
              </c:extLst>
              <c:f>'Dashboard Ernährung'!$AC$17:$AF$17</c:f>
              <c:numCache>
                <c:formatCode>General</c:formatCode>
                <c:ptCount val="4"/>
                <c:pt idx="0">
                  <c:v>75.599999999999994</c:v>
                </c:pt>
                <c:pt idx="1">
                  <c:v>340.2</c:v>
                </c:pt>
                <c:pt idx="2">
                  <c:v>12.4</c:v>
                </c:pt>
                <c:pt idx="3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C-477C-993E-6659DC80D734}"/>
            </c:ext>
          </c:extLst>
        </c:ser>
        <c:ser>
          <c:idx val="1"/>
          <c:order val="1"/>
          <c:tx>
            <c:strRef>
              <c:f>'Dashboard Ernährung'!$AA$18</c:f>
              <c:strCache>
                <c:ptCount val="1"/>
                <c:pt idx="0">
                  <c:v>Ist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Ernährung'!$AB$18:$AF$18</c15:sqref>
                  </c15:fullRef>
                </c:ext>
              </c:extLst>
              <c:f>'Dashboard Ernährung'!$AC$18:$AF$18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C-477C-993E-6659DC80D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7514367"/>
        <c:axId val="1327516447"/>
      </c:barChart>
      <c:catAx>
        <c:axId val="132751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6447"/>
        <c:crosses val="autoZero"/>
        <c:auto val="1"/>
        <c:lblAlgn val="ctr"/>
        <c:lblOffset val="100"/>
        <c:noMultiLvlLbl val="0"/>
      </c:catAx>
      <c:valAx>
        <c:axId val="132751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4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Ern&#228;hrung'!A1"/><Relationship Id="rId2" Type="http://schemas.openxmlformats.org/officeDocument/2006/relationships/hyperlink" Target="#Dashboard!A1"/><Relationship Id="rId1" Type="http://schemas.openxmlformats.org/officeDocument/2006/relationships/chart" Target="../charts/chart1.xml"/><Relationship Id="rId5" Type="http://schemas.openxmlformats.org/officeDocument/2006/relationships/hyperlink" Target="#'Dashboard Lebensmittel'!A1"/><Relationship Id="rId4" Type="http://schemas.openxmlformats.org/officeDocument/2006/relationships/hyperlink" Target="#'Dashboard K&#246;rper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8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B1A7A0-0F0F-4869-BC8F-09EE79D4D539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9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86DC92-59BF-42A3-B9E3-97F3679B9DBE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0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B1F07F-D9C7-4682-A117-4CC95C4496E1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1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0CF4991-F768-4A50-A891-6E277708ACD1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NutritionDashboard.FillFoodList" textlink="">
      <xdr:nvSpPr>
        <xdr:cNvPr id="693" name="2">
          <a:extLst>
            <a:ext uri="{FF2B5EF4-FFF2-40B4-BE49-F238E27FC236}">
              <a16:creationId xmlns:a16="http://schemas.microsoft.com/office/drawing/2014/main" id="{14CA946E-DF4C-4E3C-A458-F70B8AD7548F}"/>
            </a:ext>
          </a:extLst>
        </xdr:cNvPr>
        <xdr:cNvSpPr/>
      </xdr:nvSpPr>
      <xdr:spPr>
        <a:xfrm>
          <a:off x="2095500" y="51371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16</xdr:col>
      <xdr:colOff>273050</xdr:colOff>
      <xdr:row>29</xdr:row>
      <xdr:rowOff>88900</xdr:rowOff>
    </xdr:from>
    <xdr:to>
      <xdr:col>18</xdr:col>
      <xdr:colOff>609600</xdr:colOff>
      <xdr:row>31</xdr:row>
      <xdr:rowOff>63500</xdr:rowOff>
    </xdr:to>
    <xdr:sp macro="[0]!AddFoodToPlan" textlink="">
      <xdr:nvSpPr>
        <xdr:cNvPr id="1885" name="2">
          <a:extLst>
            <a:ext uri="{FF2B5EF4-FFF2-40B4-BE49-F238E27FC236}">
              <a16:creationId xmlns:a16="http://schemas.microsoft.com/office/drawing/2014/main" id="{FF44DC09-E520-4314-8DAF-9A7AF62F2FEB}"/>
            </a:ext>
          </a:extLst>
        </xdr:cNvPr>
        <xdr:cNvSpPr/>
      </xdr:nvSpPr>
      <xdr:spPr>
        <a:xfrm>
          <a:off x="11855450" y="5543550"/>
          <a:ext cx="18224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25</xdr:col>
      <xdr:colOff>142874</xdr:colOff>
      <xdr:row>20</xdr:row>
      <xdr:rowOff>95250</xdr:rowOff>
    </xdr:from>
    <xdr:to>
      <xdr:col>32</xdr:col>
      <xdr:colOff>120650</xdr:colOff>
      <xdr:row>37</xdr:row>
      <xdr:rowOff>120650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EF63DAF-0F1A-ADA8-3B15-8FEDCA299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2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4AFED2-8BBA-4A2E-A48A-061B56DDF036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3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E74D19-213D-4E68-9B6B-EB5FF89E4229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4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3894FE-1A4F-490F-8562-41AF58270EA1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5" name="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BB8CCB-1037-4C1F-B9F0-CA9B212FD847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FoodDashboard.FillFoodList" textlink="">
      <xdr:nvSpPr>
        <xdr:cNvPr id="2" name="2">
          <a:extLst>
            <a:ext uri="{FF2B5EF4-FFF2-40B4-BE49-F238E27FC236}">
              <a16:creationId xmlns:a16="http://schemas.microsoft.com/office/drawing/2014/main" id="{4126F880-A1EE-4704-B30D-87B93C2529C7}"/>
            </a:ext>
          </a:extLst>
        </xdr:cNvPr>
        <xdr:cNvSpPr/>
      </xdr:nvSpPr>
      <xdr:spPr>
        <a:xfrm>
          <a:off x="2095500" y="5149850"/>
          <a:ext cx="1860550" cy="3492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4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AE0D2B-26E3-4615-B31F-6C2291C3DF67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5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DA978A4-7FCD-4356-8CAF-E4BC755B5264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6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F2C55-7D7F-4FF7-BF30-0D0E70090824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8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A9720E-C1D6-44AF-8804-5241FF933056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22</xdr:row>
      <xdr:rowOff>12700</xdr:rowOff>
    </xdr:from>
    <xdr:to>
      <xdr:col>5</xdr:col>
      <xdr:colOff>431800</xdr:colOff>
      <xdr:row>23</xdr:row>
      <xdr:rowOff>171450</xdr:rowOff>
    </xdr:to>
    <xdr:sp macro="[0]!BodyDashboard.FillBodyList" textlink="">
      <xdr:nvSpPr>
        <xdr:cNvPr id="5" name="2">
          <a:extLst>
            <a:ext uri="{FF2B5EF4-FFF2-40B4-BE49-F238E27FC236}">
              <a16:creationId xmlns:a16="http://schemas.microsoft.com/office/drawing/2014/main" id="{1B2820EB-149F-43C2-BFBF-6C31B0D27A5D}"/>
            </a:ext>
          </a:extLst>
        </xdr:cNvPr>
        <xdr:cNvSpPr/>
      </xdr:nvSpPr>
      <xdr:spPr>
        <a:xfrm>
          <a:off x="1905000" y="40767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1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26D3A7-8FE0-40A7-A4DD-CBD05C666B7E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2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B168AA-9BFE-4D30-8AE5-8EDABCF2204B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3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468B51-E4BA-4790-9624-8E48DCDC97D9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4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6401BB-E663-4739-A707-A377AB193F0E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101600</xdr:colOff>
      <xdr:row>23</xdr:row>
      <xdr:rowOff>44450</xdr:rowOff>
    </xdr:from>
    <xdr:to>
      <xdr:col>16</xdr:col>
      <xdr:colOff>438150</xdr:colOff>
      <xdr:row>25</xdr:row>
      <xdr:rowOff>12700</xdr:rowOff>
    </xdr:to>
    <xdr:sp macro="[0]!AddKPI" textlink="">
      <xdr:nvSpPr>
        <xdr:cNvPr id="2" name="2">
          <a:extLst>
            <a:ext uri="{FF2B5EF4-FFF2-40B4-BE49-F238E27FC236}">
              <a16:creationId xmlns:a16="http://schemas.microsoft.com/office/drawing/2014/main" id="{85F11C72-4905-45E9-8975-7B82C51A5A95}"/>
            </a:ext>
          </a:extLst>
        </xdr:cNvPr>
        <xdr:cNvSpPr/>
      </xdr:nvSpPr>
      <xdr:spPr>
        <a:xfrm>
          <a:off x="9626600" y="43180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18</xdr:col>
      <xdr:colOff>469900</xdr:colOff>
      <xdr:row>36</xdr:row>
      <xdr:rowOff>152400</xdr:rowOff>
    </xdr:from>
    <xdr:to>
      <xdr:col>21</xdr:col>
      <xdr:colOff>44450</xdr:colOff>
      <xdr:row>38</xdr:row>
      <xdr:rowOff>127000</xdr:rowOff>
    </xdr:to>
    <xdr:sp macro="[0]!SaveCaloriesFormula" textlink="">
      <xdr:nvSpPr>
        <xdr:cNvPr id="3" name="2">
          <a:extLst>
            <a:ext uri="{FF2B5EF4-FFF2-40B4-BE49-F238E27FC236}">
              <a16:creationId xmlns:a16="http://schemas.microsoft.com/office/drawing/2014/main" id="{EDF6F343-FF46-4D6B-AEA3-79006010F896}"/>
            </a:ext>
          </a:extLst>
        </xdr:cNvPr>
        <xdr:cNvSpPr/>
      </xdr:nvSpPr>
      <xdr:spPr>
        <a:xfrm>
          <a:off x="13042900" y="68453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33</xdr:row>
      <xdr:rowOff>0</xdr:rowOff>
    </xdr:from>
    <xdr:to>
      <xdr:col>16</xdr:col>
      <xdr:colOff>12700</xdr:colOff>
      <xdr:row>38</xdr:row>
      <xdr:rowOff>25400</xdr:rowOff>
    </xdr:to>
    <xdr:grpSp>
      <xdr:nvGrpSpPr>
        <xdr:cNvPr id="957" name="BtnTemplate_Food">
          <a:extLst>
            <a:ext uri="{FF2B5EF4-FFF2-40B4-BE49-F238E27FC236}">
              <a16:creationId xmlns:a16="http://schemas.microsoft.com/office/drawing/2014/main" id="{D266AA3F-8CB2-46BD-8D75-5F5E244921CD}"/>
            </a:ext>
          </a:extLst>
        </xdr:cNvPr>
        <xdr:cNvGrpSpPr/>
      </xdr:nvGrpSpPr>
      <xdr:grpSpPr>
        <a:xfrm>
          <a:off x="7620000" y="6076950"/>
          <a:ext cx="4584700" cy="946150"/>
          <a:chOff x="2266950" y="1244600"/>
          <a:chExt cx="4584700" cy="946150"/>
        </a:xfrm>
        <a:solidFill>
          <a:schemeClr val="bg1"/>
        </a:solidFill>
      </xdr:grpSpPr>
      <xdr:sp macro="" textlink="">
        <xdr:nvSpPr>
          <xdr:cNvPr id="958" name="BtnTemplate_Food_Background">
            <a:extLst>
              <a:ext uri="{FF2B5EF4-FFF2-40B4-BE49-F238E27FC236}">
                <a16:creationId xmlns:a16="http://schemas.microsoft.com/office/drawing/2014/main" id="{10A61247-37FD-4573-923B-366E230B3466}"/>
              </a:ext>
            </a:extLst>
          </xdr:cNvPr>
          <xdr:cNvSpPr/>
        </xdr:nvSpPr>
        <xdr:spPr>
          <a:xfrm>
            <a:off x="2266950" y="1244600"/>
            <a:ext cx="4584700" cy="946150"/>
          </a:xfrm>
          <a:prstGeom prst="rect">
            <a:avLst/>
          </a:prstGeom>
          <a:grpFill/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959" name="BtnTemplate_Food_Foodname">
            <a:extLst>
              <a:ext uri="{FF2B5EF4-FFF2-40B4-BE49-F238E27FC236}">
                <a16:creationId xmlns:a16="http://schemas.microsoft.com/office/drawing/2014/main" id="{C952A7AC-B29B-441D-B13B-3672AC5D27F9}"/>
              </a:ext>
            </a:extLst>
          </xdr:cNvPr>
          <xdr:cNvSpPr/>
        </xdr:nvSpPr>
        <xdr:spPr>
          <a:xfrm>
            <a:off x="2305050" y="1282700"/>
            <a:ext cx="2946400" cy="279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960" name="BtnTemplate_Food_Brandname">
            <a:extLst>
              <a:ext uri="{FF2B5EF4-FFF2-40B4-BE49-F238E27FC236}">
                <a16:creationId xmlns:a16="http://schemas.microsoft.com/office/drawing/2014/main" id="{1DA4E5FD-2FF8-4E72-94C5-5DFE26E16354}"/>
              </a:ext>
            </a:extLst>
          </xdr:cNvPr>
          <xdr:cNvSpPr/>
        </xdr:nvSpPr>
        <xdr:spPr>
          <a:xfrm>
            <a:off x="2311400" y="1638300"/>
            <a:ext cx="215900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961" name="BtnTemplate_Food_Macros">
            <a:extLst>
              <a:ext uri="{FF2B5EF4-FFF2-40B4-BE49-F238E27FC236}">
                <a16:creationId xmlns:a16="http://schemas.microsoft.com/office/drawing/2014/main" id="{310770D6-E83A-44F9-BDF3-FF61048BFE1A}"/>
              </a:ext>
            </a:extLst>
          </xdr:cNvPr>
          <xdr:cNvSpPr/>
        </xdr:nvSpPr>
        <xdr:spPr>
          <a:xfrm>
            <a:off x="2311400" y="1936750"/>
            <a:ext cx="348615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Auf</a:t>
            </a:r>
            <a:r>
              <a:rPr lang="de-DE" sz="1100" baseline="0">
                <a:solidFill>
                  <a:srgbClr val="002060"/>
                </a:solidFill>
              </a:rPr>
              <a:t> 100 Gramm </a:t>
            </a:r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9</xdr:col>
      <xdr:colOff>463550</xdr:colOff>
      <xdr:row>22</xdr:row>
      <xdr:rowOff>38100</xdr:rowOff>
    </xdr:from>
    <xdr:to>
      <xdr:col>15</xdr:col>
      <xdr:colOff>476250</xdr:colOff>
      <xdr:row>27</xdr:row>
      <xdr:rowOff>63500</xdr:rowOff>
    </xdr:to>
    <xdr:grpSp>
      <xdr:nvGrpSpPr>
        <xdr:cNvPr id="2" name="BtnTemplate_Plan">
          <a:extLst>
            <a:ext uri="{FF2B5EF4-FFF2-40B4-BE49-F238E27FC236}">
              <a16:creationId xmlns:a16="http://schemas.microsoft.com/office/drawing/2014/main" id="{4F49C534-E21C-B795-720C-139D404863D2}"/>
            </a:ext>
          </a:extLst>
        </xdr:cNvPr>
        <xdr:cNvGrpSpPr/>
      </xdr:nvGrpSpPr>
      <xdr:grpSpPr>
        <a:xfrm>
          <a:off x="7321550" y="4089400"/>
          <a:ext cx="4584700" cy="946150"/>
          <a:chOff x="7645400" y="4489450"/>
          <a:chExt cx="4584700" cy="946150"/>
        </a:xfrm>
      </xdr:grpSpPr>
      <xdr:sp macro="" textlink="">
        <xdr:nvSpPr>
          <xdr:cNvPr id="1883" name="BtnTemplate_Plan_Background">
            <a:extLst>
              <a:ext uri="{FF2B5EF4-FFF2-40B4-BE49-F238E27FC236}">
                <a16:creationId xmlns:a16="http://schemas.microsoft.com/office/drawing/2014/main" id="{D6C564C2-C151-66F0-206A-2786BC313EC4}"/>
              </a:ext>
            </a:extLst>
          </xdr:cNvPr>
          <xdr:cNvSpPr/>
        </xdr:nvSpPr>
        <xdr:spPr>
          <a:xfrm>
            <a:off x="7645400" y="4489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884" name="BtnTemplate_Plan_Date">
            <a:extLst>
              <a:ext uri="{FF2B5EF4-FFF2-40B4-BE49-F238E27FC236}">
                <a16:creationId xmlns:a16="http://schemas.microsoft.com/office/drawing/2014/main" id="{523A31F0-D4A8-CAF0-13E7-4CC2A03A6232}"/>
              </a:ext>
            </a:extLst>
          </xdr:cNvPr>
          <xdr:cNvSpPr/>
        </xdr:nvSpPr>
        <xdr:spPr>
          <a:xfrm>
            <a:off x="7683500" y="4527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1886" name="BtnTemplate_Plan_Macros">
            <a:extLst>
              <a:ext uri="{FF2B5EF4-FFF2-40B4-BE49-F238E27FC236}">
                <a16:creationId xmlns:a16="http://schemas.microsoft.com/office/drawing/2014/main" id="{0D705BA0-D148-0651-3A69-7ECED7F7BADD}"/>
              </a:ext>
            </a:extLst>
          </xdr:cNvPr>
          <xdr:cNvSpPr/>
        </xdr:nvSpPr>
        <xdr:spPr>
          <a:xfrm>
            <a:off x="7689850" y="5181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017" name="BtnTemplate_Plan_MealCount">
            <a:extLst>
              <a:ext uri="{FF2B5EF4-FFF2-40B4-BE49-F238E27FC236}">
                <a16:creationId xmlns:a16="http://schemas.microsoft.com/office/drawing/2014/main" id="{ADE85985-7222-442E-B962-8D2387EB7D31}"/>
              </a:ext>
            </a:extLst>
          </xdr:cNvPr>
          <xdr:cNvSpPr/>
        </xdr:nvSpPr>
        <xdr:spPr>
          <a:xfrm>
            <a:off x="7689850" y="4902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</xdr:grpSp>
    <xdr:clientData/>
  </xdr:twoCellAnchor>
  <xdr:twoCellAnchor>
    <xdr:from>
      <xdr:col>9</xdr:col>
      <xdr:colOff>355600</xdr:colOff>
      <xdr:row>9</xdr:row>
      <xdr:rowOff>165100</xdr:rowOff>
    </xdr:from>
    <xdr:to>
      <xdr:col>15</xdr:col>
      <xdr:colOff>368300</xdr:colOff>
      <xdr:row>15</xdr:row>
      <xdr:rowOff>6350</xdr:rowOff>
    </xdr:to>
    <xdr:grpSp>
      <xdr:nvGrpSpPr>
        <xdr:cNvPr id="3" name="BtnTemplate_MealFood">
          <a:extLst>
            <a:ext uri="{FF2B5EF4-FFF2-40B4-BE49-F238E27FC236}">
              <a16:creationId xmlns:a16="http://schemas.microsoft.com/office/drawing/2014/main" id="{C04A272E-B853-E985-D9E5-78E4CD0C19BE}"/>
            </a:ext>
          </a:extLst>
        </xdr:cNvPr>
        <xdr:cNvGrpSpPr/>
      </xdr:nvGrpSpPr>
      <xdr:grpSpPr>
        <a:xfrm>
          <a:off x="7213600" y="1822450"/>
          <a:ext cx="4584700" cy="946150"/>
          <a:chOff x="7213600" y="1822450"/>
          <a:chExt cx="4584700" cy="946150"/>
        </a:xfrm>
      </xdr:grpSpPr>
      <xdr:sp macro="" textlink="">
        <xdr:nvSpPr>
          <xdr:cNvPr id="18" name="BtnTemplate_MealFood_Background">
            <a:extLst>
              <a:ext uri="{FF2B5EF4-FFF2-40B4-BE49-F238E27FC236}">
                <a16:creationId xmlns:a16="http://schemas.microsoft.com/office/drawing/2014/main" id="{536A5B04-6D8D-D9D8-C50C-768112CFABBD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9" name="BtnTemplate_MealFood_Food">
            <a:extLst>
              <a:ext uri="{FF2B5EF4-FFF2-40B4-BE49-F238E27FC236}">
                <a16:creationId xmlns:a16="http://schemas.microsoft.com/office/drawing/2014/main" id="{2D85B091-7BB6-B1E7-4527-65B54A097980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20" name="BtnTemplate_MealFood_Macros">
            <a:extLst>
              <a:ext uri="{FF2B5EF4-FFF2-40B4-BE49-F238E27FC236}">
                <a16:creationId xmlns:a16="http://schemas.microsoft.com/office/drawing/2014/main" id="{D31539C2-022C-0B36-AA01-2E63D61350B7}"/>
              </a:ext>
            </a:extLst>
          </xdr:cNvPr>
          <xdr:cNvSpPr/>
        </xdr:nvSpPr>
        <xdr:spPr>
          <a:xfrm>
            <a:off x="7258050" y="2514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1" name="BtnTemplate_MealFood_Brand">
            <a:extLst>
              <a:ext uri="{FF2B5EF4-FFF2-40B4-BE49-F238E27FC236}">
                <a16:creationId xmlns:a16="http://schemas.microsoft.com/office/drawing/2014/main" id="{5CE65297-F394-0EF9-430F-CCC5D9997661}"/>
              </a:ext>
            </a:extLst>
          </xdr:cNvPr>
          <xdr:cNvSpPr/>
        </xdr:nvSpPr>
        <xdr:spPr>
          <a:xfrm>
            <a:off x="7258050" y="2235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22" name="BtnTemplate_MealFood_Delete">
            <a:extLst>
              <a:ext uri="{FF2B5EF4-FFF2-40B4-BE49-F238E27FC236}">
                <a16:creationId xmlns:a16="http://schemas.microsoft.com/office/drawing/2014/main" id="{CDAE9AE0-7066-4138-83C0-C2668F17036B}"/>
              </a:ext>
            </a:extLst>
          </xdr:cNvPr>
          <xdr:cNvSpPr/>
        </xdr:nvSpPr>
        <xdr:spPr>
          <a:xfrm>
            <a:off x="11061700" y="19050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9</xdr:col>
      <xdr:colOff>469900</xdr:colOff>
      <xdr:row>15</xdr:row>
      <xdr:rowOff>171450</xdr:rowOff>
    </xdr:from>
    <xdr:to>
      <xdr:col>15</xdr:col>
      <xdr:colOff>482600</xdr:colOff>
      <xdr:row>21</xdr:row>
      <xdr:rowOff>12700</xdr:rowOff>
    </xdr:to>
    <xdr:grpSp>
      <xdr:nvGrpSpPr>
        <xdr:cNvPr id="6" name="BtnTemplate_PlanMeal">
          <a:extLst>
            <a:ext uri="{FF2B5EF4-FFF2-40B4-BE49-F238E27FC236}">
              <a16:creationId xmlns:a16="http://schemas.microsoft.com/office/drawing/2014/main" id="{A039968E-78DF-64EB-40CF-A6E004787AE6}"/>
            </a:ext>
          </a:extLst>
        </xdr:cNvPr>
        <xdr:cNvGrpSpPr/>
      </xdr:nvGrpSpPr>
      <xdr:grpSpPr>
        <a:xfrm>
          <a:off x="7327900" y="2933700"/>
          <a:ext cx="4584700" cy="946150"/>
          <a:chOff x="7327900" y="2933700"/>
          <a:chExt cx="4584700" cy="946150"/>
        </a:xfrm>
      </xdr:grpSpPr>
      <xdr:sp macro="" textlink="">
        <xdr:nvSpPr>
          <xdr:cNvPr id="13" name="BtnTemplate_PlanMeal_Background">
            <a:extLst>
              <a:ext uri="{FF2B5EF4-FFF2-40B4-BE49-F238E27FC236}">
                <a16:creationId xmlns:a16="http://schemas.microsoft.com/office/drawing/2014/main" id="{F77D920F-AF6B-FEAA-5C1A-D37838B586E3}"/>
              </a:ext>
            </a:extLst>
          </xdr:cNvPr>
          <xdr:cNvSpPr/>
        </xdr:nvSpPr>
        <xdr:spPr>
          <a:xfrm>
            <a:off x="7327900" y="293370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4" name="BtnTemplate_PlanMeal_Meal">
            <a:extLst>
              <a:ext uri="{FF2B5EF4-FFF2-40B4-BE49-F238E27FC236}">
                <a16:creationId xmlns:a16="http://schemas.microsoft.com/office/drawing/2014/main" id="{874633B9-419D-0157-BD57-E3CC68C9046B}"/>
              </a:ext>
            </a:extLst>
          </xdr:cNvPr>
          <xdr:cNvSpPr/>
        </xdr:nvSpPr>
        <xdr:spPr>
          <a:xfrm>
            <a:off x="7366000" y="297180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Mahlzeit</a:t>
            </a:r>
          </a:p>
        </xdr:txBody>
      </xdr:sp>
      <xdr:sp macro="" textlink="">
        <xdr:nvSpPr>
          <xdr:cNvPr id="15" name="BtnTemplate_PlanMeal_Macros">
            <a:extLst>
              <a:ext uri="{FF2B5EF4-FFF2-40B4-BE49-F238E27FC236}">
                <a16:creationId xmlns:a16="http://schemas.microsoft.com/office/drawing/2014/main" id="{5BCB2F2B-4FF3-6264-1362-3A2F853E11CC}"/>
              </a:ext>
            </a:extLst>
          </xdr:cNvPr>
          <xdr:cNvSpPr/>
        </xdr:nvSpPr>
        <xdr:spPr>
          <a:xfrm>
            <a:off x="7372350" y="362585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16" name="BtnTemplate_PlanMeal_Foods">
            <a:extLst>
              <a:ext uri="{FF2B5EF4-FFF2-40B4-BE49-F238E27FC236}">
                <a16:creationId xmlns:a16="http://schemas.microsoft.com/office/drawing/2014/main" id="{7AB12DA7-B68C-A1A1-0355-29C8B4C10004}"/>
              </a:ext>
            </a:extLst>
          </xdr:cNvPr>
          <xdr:cNvSpPr/>
        </xdr:nvSpPr>
        <xdr:spPr>
          <a:xfrm>
            <a:off x="7372350" y="334645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Nahrungsmittel</a:t>
            </a:r>
          </a:p>
        </xdr:txBody>
      </xdr:sp>
      <xdr:sp macro="" textlink="">
        <xdr:nvSpPr>
          <xdr:cNvPr id="24" name="BtnTemplate_PlanMeal_Delete">
            <a:extLst>
              <a:ext uri="{FF2B5EF4-FFF2-40B4-BE49-F238E27FC236}">
                <a16:creationId xmlns:a16="http://schemas.microsoft.com/office/drawing/2014/main" id="{A7C8E80C-185C-4B99-90F1-38906EF074FD}"/>
              </a:ext>
            </a:extLst>
          </xdr:cNvPr>
          <xdr:cNvSpPr/>
        </xdr:nvSpPr>
        <xdr:spPr>
          <a:xfrm>
            <a:off x="11150600" y="30099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16</xdr:col>
      <xdr:colOff>152400</xdr:colOff>
      <xdr:row>9</xdr:row>
      <xdr:rowOff>152400</xdr:rowOff>
    </xdr:from>
    <xdr:to>
      <xdr:col>22</xdr:col>
      <xdr:colOff>165100</xdr:colOff>
      <xdr:row>14</xdr:row>
      <xdr:rowOff>177800</xdr:rowOff>
    </xdr:to>
    <xdr:grpSp>
      <xdr:nvGrpSpPr>
        <xdr:cNvPr id="25" name="BtnTemplate_Body">
          <a:extLst>
            <a:ext uri="{FF2B5EF4-FFF2-40B4-BE49-F238E27FC236}">
              <a16:creationId xmlns:a16="http://schemas.microsoft.com/office/drawing/2014/main" id="{6154AC9C-E2FF-430D-8DB5-26DC24864660}"/>
            </a:ext>
          </a:extLst>
        </xdr:cNvPr>
        <xdr:cNvGrpSpPr/>
      </xdr:nvGrpSpPr>
      <xdr:grpSpPr>
        <a:xfrm>
          <a:off x="12344400" y="1809750"/>
          <a:ext cx="4584700" cy="946150"/>
          <a:chOff x="7213600" y="1822450"/>
          <a:chExt cx="4584700" cy="946150"/>
        </a:xfrm>
      </xdr:grpSpPr>
      <xdr:sp macro="" textlink="">
        <xdr:nvSpPr>
          <xdr:cNvPr id="26" name="BtnTemplate_Body_Background">
            <a:extLst>
              <a:ext uri="{FF2B5EF4-FFF2-40B4-BE49-F238E27FC236}">
                <a16:creationId xmlns:a16="http://schemas.microsoft.com/office/drawing/2014/main" id="{A1BA2421-CB67-8AE3-134A-1FA50C935ECF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7" name="BtnTemplate_Body_Date">
            <a:extLst>
              <a:ext uri="{FF2B5EF4-FFF2-40B4-BE49-F238E27FC236}">
                <a16:creationId xmlns:a16="http://schemas.microsoft.com/office/drawing/2014/main" id="{70479D39-E420-945B-BDCC-BD24444F7E5A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28" name="BtnTemplate_Body_Fat">
            <a:extLst>
              <a:ext uri="{FF2B5EF4-FFF2-40B4-BE49-F238E27FC236}">
                <a16:creationId xmlns:a16="http://schemas.microsoft.com/office/drawing/2014/main" id="{135B3342-2D64-6D6C-4775-29A5783397DE}"/>
              </a:ext>
            </a:extLst>
          </xdr:cNvPr>
          <xdr:cNvSpPr/>
        </xdr:nvSpPr>
        <xdr:spPr>
          <a:xfrm>
            <a:off x="7258050" y="2495550"/>
            <a:ext cx="13208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Fett:</a:t>
            </a:r>
            <a:r>
              <a:rPr lang="de-DE" sz="1100" baseline="0">
                <a:solidFill>
                  <a:srgbClr val="002060"/>
                </a:solidFill>
              </a:rPr>
              <a:t> 0 %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9" name="BtnTemplate_Body_Weight">
            <a:extLst>
              <a:ext uri="{FF2B5EF4-FFF2-40B4-BE49-F238E27FC236}">
                <a16:creationId xmlns:a16="http://schemas.microsoft.com/office/drawing/2014/main" id="{52733005-11F3-522E-C998-C4963502D36C}"/>
              </a:ext>
            </a:extLst>
          </xdr:cNvPr>
          <xdr:cNvSpPr/>
        </xdr:nvSpPr>
        <xdr:spPr>
          <a:xfrm>
            <a:off x="7258050" y="2216150"/>
            <a:ext cx="13335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Gewicht: 0</a:t>
            </a:r>
            <a:r>
              <a:rPr lang="de-DE" sz="1100" baseline="0">
                <a:solidFill>
                  <a:srgbClr val="002060"/>
                </a:solidFill>
              </a:rPr>
              <a:t> Kg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036609-DB98-4E9D-832C-C971ED247A29}" name="TblWorkdays" displayName="TblWorkdays" ref="A1:C8" totalsRowShown="0">
  <autoFilter ref="A1:C8" xr:uid="{6C036609-DB98-4E9D-832C-C971ED247A29}"/>
  <tableColumns count="3">
    <tableColumn id="1" xr3:uid="{FC43A4A6-3226-46D1-8ED2-47753DC935AB}" name="Wochentag"/>
    <tableColumn id="2" xr3:uid="{6EA5FE11-694F-4C4A-87BF-8B9212E11AD1}" name="Ist Arbeitstag"/>
    <tableColumn id="3" xr3:uid="{8B821CB6-3271-461F-8CA2-13A3A4C239C5}" name="Homeoff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653414-0B6D-46DD-B86F-076F363C07ED}" name="TblSummary" displayName="TblSummary" ref="A1:L11" totalsRowShown="0">
  <autoFilter ref="A1:L11" xr:uid="{63653414-0B6D-46DD-B86F-076F363C07ED}"/>
  <sortState xmlns:xlrd2="http://schemas.microsoft.com/office/spreadsheetml/2017/richdata2" ref="A2:K2">
    <sortCondition ref="A1:A2"/>
  </sortState>
  <tableColumns count="12">
    <tableColumn id="1" xr3:uid="{656F3BF9-B6CD-4FEC-809E-44B4A2A880EA}" name="Datum" dataDxfId="1"/>
    <tableColumn id="2" xr3:uid="{2D84F33A-3C50-40F3-9714-3FBFD7CD6B0E}" name="Kalorien gegessen">
      <calculatedColumnFormula>SUMIF(TblMealFoods[Datum],TblSummary[[#This Row],[Datum]],TblMealFoods[Kalorien])</calculatedColumnFormula>
    </tableColumn>
    <tableColumn id="3" xr3:uid="{739D9C5D-1F99-482D-8E16-2C4691503E99}" name="Kalorien Aktivitätsbedarf" dataDxfId="117">
      <calculatedColumnFormula>SUMIF(TblActivities[Datum],TblSummary[[#This Row],[Datum]],TblActivities[Kalorien Aktivitätsbedarf])</calculatedColumnFormula>
    </tableColumn>
    <tableColumn id="11" xr3:uid="{A089D123-3CE0-4CE3-BEC6-64212FA0F370}" name="Kalorien Differenz" dataDxfId="116">
      <calculatedColumnFormula>TblSummary[[#This Row],[Kalorien gegessen]]-TblSummary[[#This Row],[Kalorien Aktivitätsbedarf]]</calculatedColumnFormula>
    </tableColumn>
    <tableColumn id="4" xr3:uid="{6A055128-6C10-47E5-AA5D-C96B9EA3B06F}" name="Gewicht" dataDxfId="115">
      <calculatedColumnFormula>IFERROR(VLOOKUP(TblSummary[[#This Row],[Datum]],TblBody[#All],MATCH(TblSummary[[#Headers],[Gewicht]],TblBody[#Headers],0),FALSE),0)</calculatedColumnFormula>
    </tableColumn>
    <tableColumn id="5" xr3:uid="{D51632C9-C69E-474C-A55F-271A3A50E6A9}" name="Fett" dataDxfId="114">
      <calculatedColumnFormula>IFERROR(VLOOKUP(TblSummary[[#This Row],[Datum]],TblBody[#All],MATCH(TblSummary[[#Headers],[Fett]],TblBody[#Headers],0),FALSE),0)</calculatedColumnFormula>
    </tableColumn>
    <tableColumn id="6" xr3:uid="{338DDBCF-6F42-4F79-AD44-EEBF1164090C}" name="Schritte" dataDxfId="113">
      <calculatedColumnFormula>SUMIF(TblActivities[Datum],TblSummary[[#This Row],[Datum]],TblActivities[Schritte])</calculatedColumnFormula>
    </tableColumn>
    <tableColumn id="7" xr3:uid="{2D8DB136-6005-4517-8071-6F0F86DD4BF8}" name="Distanz" dataDxfId="112">
      <calculatedColumnFormula>SUMIF(TblActivities[Datum],TblSummary[[#This Row],[Datum]],TblActivities[Distanz])</calculatedColumnFormula>
    </tableColumn>
    <tableColumn id="8" xr3:uid="{7F6E45CB-EE0B-44C7-99E0-BF8C615E3065}" name="Herzfrequenz"/>
    <tableColumn id="9" xr3:uid="{A8D37518-0381-42EF-BCCC-2A76044314E4}" name="Gearbeitet" dataDxfId="111">
      <calculatedColumnFormula>VLOOKUP(TEXT(TblSummary[[#This Row],[Datum]],"tttt"),TblWorkdays[#All],2,FALSE)</calculatedColumnFormula>
    </tableColumn>
    <tableColumn id="10" xr3:uid="{6A27FC02-E1EF-4593-A47A-68DD7CC27E22}" name="Homeoffice" dataDxfId="110">
      <calculatedColumnFormula>VLOOKUP(TEXT(TblSummary[[#This Row],[Datum]],"tttt"),TblWorkdays[#All],3,FALSE)</calculatedColumnFormula>
    </tableColumn>
    <tableColumn id="12" xr3:uid="{3FA31080-937F-4B0C-8C38-4C50E80C6FCF}" name="Aktivitätsfak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16B8C-3918-439B-ADFE-C77474008282}" name="TblNutrientDivision" displayName="TblNutrientDivision" ref="A1:H3" totalsRowShown="0">
  <autoFilter ref="A1:H3" xr:uid="{99316B8C-3918-439B-ADFE-C77474008282}"/>
  <tableColumns count="8">
    <tableColumn id="1" xr3:uid="{ADB0E01E-F837-4BEF-B9A7-C3E0FBDEB274}" name="Datum von" dataDxfId="109"/>
    <tableColumn id="2" xr3:uid="{7C31D9FF-7DB1-4955-9B6D-D5DD28526ADC}" name="Datum bis" dataDxfId="108"/>
    <tableColumn id="3" xr3:uid="{AF530C53-C869-4DCD-89FC-97A743E2EA6E}" name="Kalorien in Kcal."/>
    <tableColumn id="4" xr3:uid="{03F1F2A3-4833-4840-9F0C-C81034608756}" name="Proteine in %"/>
    <tableColumn id="5" xr3:uid="{BF1B18DE-8D75-4C23-9080-665B9E6D5DB5}" name="Kohlenhydrate in %"/>
    <tableColumn id="6" xr3:uid="{A108C2EB-96F4-4D96-A117-2F9D875DE26A}" name="Zucker in %"/>
    <tableColumn id="7" xr3:uid="{2E03AEE1-E39A-4A74-B244-6320985C9AA2}" name="Fett in %"/>
    <tableColumn id="8" xr3:uid="{0236F37A-CF91-4717-955D-78E615A3D749}" name="Aktiv">
      <calculatedColumnFormula>IF(AND(TODAY()&gt;=TblNutrientDivision[[#This Row],[Datum von]],TODAY()&lt;=TblNutrientDivision[[#This Row],[Datum bis]]),TRUE,FALSE)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C0BA95-F0CF-4A41-B1AC-D6B8DABCB414}" name="TblMeals" displayName="TblMeals" ref="A1:E9" totalsRowShown="0" headerRowDxfId="107" dataDxfId="106" tableBorderDxfId="105">
  <autoFilter ref="A1:E9" xr:uid="{941A30DD-4691-4500-A08E-F6AE87C8D292}"/>
  <tableColumns count="5">
    <tableColumn id="8" xr3:uid="{689372E4-A202-4E19-B0E1-D975942BC0B2}" name="Datum" dataDxfId="104"/>
    <tableColumn id="9" xr3:uid="{1B441FDC-B52A-4043-97EB-CB3A68D90109}" name="MahlzeitenId" dataDxfId="103"/>
    <tableColumn id="10" xr3:uid="{5B8268DE-CBA7-4849-8777-536765ECA593}" name="Mahlzeit" dataDxfId="102"/>
    <tableColumn id="11" xr3:uid="{09790553-E6D3-43EE-911B-3D309A6D84A7}" name="MahlzeitenTyp" dataDxfId="101"/>
    <tableColumn id="1" xr3:uid="{C7D7921A-8E0D-42FB-A57F-C11148B1B28E}" name="Cheatmeal" dataDxfId="10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1C7A446-5C82-4C15-A71C-593BA4D5ADF7}" name="TblMealFoods" displayName="TblMealFoods" ref="A1:N9" headerRowDxfId="99" dataDxfId="98" tableBorderDxfId="97">
  <autoFilter ref="A1:N9" xr:uid="{E1C7A446-5C82-4C15-A71C-593BA4D5ADF7}"/>
  <tableColumns count="14">
    <tableColumn id="1" xr3:uid="{782B322A-E8EC-42A5-A2F4-EB55AFE4AD6C}" name="Datum" totalsRowLabel="Ergebnis" dataDxfId="96" totalsRowDxfId="95"/>
    <tableColumn id="2" xr3:uid="{AB34193D-068D-4935-817C-1176BAEC8838}" name="MahlzeitenId" dataDxfId="94" totalsRowDxfId="93"/>
    <tableColumn id="3" xr3:uid="{42C8EEB0-5A18-4A56-AF85-24022096ED33}" name="NahrungsmittelId" dataDxfId="92" totalsRowDxfId="91"/>
    <tableColumn id="4" xr3:uid="{00FCABF4-63E1-4E7C-862E-44027DEDFA1E}" name="Geplant" dataDxfId="90" totalsRowDxfId="89"/>
    <tableColumn id="5" xr3:uid="{2585036C-F30C-45E3-AF42-B510C91CF41A}" name="Nahrungsmittel" dataDxfId="88" totalsRowDxfId="87"/>
    <tableColumn id="6" xr3:uid="{471666FB-F055-4CBD-8129-6CAF30BFD7FF}" name="Marke" dataDxfId="86" totalsRowDxfId="85"/>
    <tableColumn id="7" xr3:uid="{FFCD9C33-1A72-4CF3-8BF6-67A450827664}" name="Einheit" dataDxfId="84" totalsRowDxfId="83"/>
    <tableColumn id="8" xr3:uid="{149346BD-2B3A-4393-9AAF-FD78D4E5551C}" name="Menge" dataDxfId="82" totalsRowDxfId="81"/>
    <tableColumn id="9" xr3:uid="{85A01E07-3A1F-40A6-9DFE-B4A3FA8C2E59}" name="Kalorien" dataDxfId="80" totalsRowDxfId="79">
      <calculatedColumnFormula>ROUND(IFERROR(INDEX(TblFoodUnits[#All],MATCH(Rohdaten_MahlzeitLebensmittel!$C2&amp;Rohdaten_MahlzeitLebensmittel!$G2,TblFoodUnits[[#All],[Id]],0),MATCH(Rohdaten_MahlzeitLebensmittel!$I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0" xr3:uid="{9FF9AD6F-7114-49FC-AEDF-0962989A552E}" name="Proteine" dataDxfId="78" totalsRowDxfId="77">
      <calculatedColumnFormula>ROUND(IFERROR(INDEX(TblFoodUnits[#All],MATCH(Rohdaten_MahlzeitLebensmittel!$C2&amp;Rohdaten_MahlzeitLebensmittel!$G2,TblFoodUnits[[#All],[Id]],0),MATCH(Rohdaten_MahlzeitLebensmittel!$J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1" xr3:uid="{6836C46C-C80F-40DE-B635-66588E2ADCB1}" name="Kohlenhydrate" dataDxfId="76" totalsRowDxfId="75">
      <calculatedColumnFormula>ROUND(IFERROR(INDEX(TblFoodUnits[#All],MATCH(Rohdaten_MahlzeitLebensmittel!$C2&amp;Rohdaten_MahlzeitLebensmittel!$G2,TblFoodUnits[[#All],[Id]],0),MATCH(Rohdaten_MahlzeitLebensmittel!$K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2" xr3:uid="{339E9AAF-71F8-43BB-AD02-4D295DAAF034}" name="Zucker" dataDxfId="74" totalsRowDxfId="73">
      <calculatedColumnFormula>ROUND(IFERROR(INDEX(TblFoodUnits[#All],MATCH(Rohdaten_MahlzeitLebensmittel!$C2&amp;Rohdaten_MahlzeitLebensmittel!$G2,TblFoodUnits[[#All],[Id]],0),MATCH(Rohdaten_MahlzeitLebensmittel!$L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3" xr3:uid="{87CDF534-A223-4780-A1D3-F36521FCCBC1}" name="Fett" dataDxfId="72" totalsRowDxfId="71">
      <calculatedColumnFormula>ROUND(IFERROR(INDEX(TblFoodUnits[#All],MATCH(Rohdaten_MahlzeitLebensmittel!$C2&amp;Rohdaten_MahlzeitLebensmittel!$G2,TblFoodUnits[[#All],[Id]],0),MATCH(Rohdaten_MahlzeitLebensmittel!$M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4" xr3:uid="{6C437E30-23C8-4E9F-BD65-6320887E2EC7}" name="Ballaststoffe" totalsRowFunction="count" dataDxfId="70" totalsRowDxfId="69">
      <calculatedColumnFormula>ROUND(IFERROR(INDEX(TblFoodUnits[#All],MATCH(Rohdaten_MahlzeitLebensmittel!$C2&amp;Rohdaten_MahlzeitLebensmittel!$G2,TblFoodUnits[[#All],[Id]],0),MATCH(Rohdaten_MahlzeitLebensmittel!$N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14E8DE-4B8F-458B-A6DE-A775FE603611}" name="TblFoods" displayName="TblFoods" ref="A1:U47" headerRowDxfId="68" dataDxfId="67" totalsRowDxfId="65" tableBorderDxfId="66">
  <autoFilter ref="A1:U47" xr:uid="{7F14E8DE-4B8F-458B-A6DE-A775FE603611}"/>
  <sortState xmlns:xlrd2="http://schemas.microsoft.com/office/spreadsheetml/2017/richdata2" ref="A2:U47">
    <sortCondition descending="1" ref="U1:U47"/>
  </sortState>
  <tableColumns count="21">
    <tableColumn id="1" xr3:uid="{74713531-7588-419D-AD21-3023FEC2F84B}" name="NahrungsmittelId" totalsRowLabel="Ergebnis" dataDxfId="64" totalsRowDxfId="63"/>
    <tableColumn id="2" xr3:uid="{87214898-9228-406D-B453-C52C8986D790}" name="FitbitId" dataDxfId="62" totalsRowDxfId="61"/>
    <tableColumn id="3" xr3:uid="{0C340B97-42D3-4D44-8DEB-47FD2636788C}" name="VergleichsId" dataDxfId="60" totalsRowDxfId="59"/>
    <tableColumn id="4" xr3:uid="{A4C6B227-48AD-43C2-BB05-E6803DF4DD44}" name="UserId" dataDxfId="58" totalsRowDxfId="57"/>
    <tableColumn id="5" xr3:uid="{070AEBE6-5606-4552-861A-9DCF45637D28}" name="Datenquelle" dataDxfId="56" totalsRowDxfId="55"/>
    <tableColumn id="6" xr3:uid="{7761AF69-45A4-4154-9697-4976A566EC50}" name="GlykIndex" dataDxfId="54" totalsRowDxfId="53"/>
    <tableColumn id="7" xr3:uid="{0DCB4394-0914-41FA-A1FB-606BFB134FF2}" name="Vegan" dataDxfId="52" totalsRowDxfId="51"/>
    <tableColumn id="8" xr3:uid="{E9081F4E-A902-4872-AD73-F6F45C16A22F}" name="Vegetarisch" dataDxfId="50" totalsRowDxfId="49"/>
    <tableColumn id="9" xr3:uid="{F5F7FA0D-CBB1-4D68-B51F-9D7973B71A01}" name="Gluten" dataDxfId="48" totalsRowDxfId="47"/>
    <tableColumn id="10" xr3:uid="{7FB1D628-42D6-4FF4-A98D-32ACE6BDC5CD}" name="Nutritionscore" dataDxfId="46" totalsRowDxfId="45"/>
    <tableColumn id="11" xr3:uid="{C626BA9E-8340-4BED-9A1C-FFBFC66155B6}" name="Nahrungsmittel" dataDxfId="44" totalsRowDxfId="43"/>
    <tableColumn id="12" xr3:uid="{6E351F5F-3FD7-47C4-AA42-AB40CC9831DB}" name="Marke" dataDxfId="42" totalsRowDxfId="41"/>
    <tableColumn id="13" xr3:uid="{1009D8C5-73AC-4B99-8A6E-CF7332DCEAF5}" name="Laden" dataDxfId="40" totalsRowDxfId="39"/>
    <tableColumn id="14" xr3:uid="{32938182-1299-494D-8DEC-F20436FB926C}" name="Verpackungsmenge" dataDxfId="38" totalsRowDxfId="37"/>
    <tableColumn id="15" xr3:uid="{5ED1FCD2-81D3-4401-AA78-50D29E32BD06}" name="Verpackungspreis" dataDxfId="36" totalsRowDxfId="35"/>
    <tableColumn id="16" xr3:uid="{AD94031D-C35A-42E0-8B01-34E32F3C66FD}" name="KategorieLevel1" dataDxfId="34" totalsRowDxfId="33"/>
    <tableColumn id="17" xr3:uid="{C64539D2-6A96-4087-94FD-74E15A0F787F}" name="KategorieLevel2" dataDxfId="32" totalsRowDxfId="31"/>
    <tableColumn id="18" xr3:uid="{BF528F1D-12E7-4196-B41C-A3D548DCB595}" name="KategorieLevel3" dataDxfId="30" totalsRowDxfId="29"/>
    <tableColumn id="19" xr3:uid="{FC2E352E-3405-4433-8182-927EC35AD82D}" name="Beschreibung" dataDxfId="28" totalsRowDxfId="27"/>
    <tableColumn id="20" xr3:uid="{D1638BB1-5F4A-42CB-8B26-F97C535CD6D2}" name="Dauer" dataDxfId="26" totalsRowDxfId="25"/>
    <tableColumn id="21" xr3:uid="{04215FFA-9A53-4A31-88B4-C3A7087D8FF8}" name="AnzahlBenutzt" totalsRowFunction="sum" dataDxfId="24" totalsRowDxfId="23">
      <calculatedColumnFormula>COUNTIFS(TblMealFoods[NahrungsmittelId],TblFoods[[#This Row],[NahrungsmittelId]])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884C5F-E8E1-4770-A4DD-9F4470BC6B7A}" name="TblFoodUnits" displayName="TblFoodUnits" ref="A1:L48" totalsRowShown="0" headerRowDxfId="22" dataDxfId="21" tableBorderDxfId="20">
  <autoFilter ref="A1:L48" xr:uid="{70884C5F-E8E1-4770-A4DD-9F4470BC6B7A}"/>
  <tableColumns count="12">
    <tableColumn id="1" xr3:uid="{AB608390-279C-4F8D-98BD-4E9DFBF0297D}" name="Id" dataDxfId="19">
      <calculatedColumnFormula>Rohdaten_LebensmittelEinheiten!$B2&amp;Rohdaten_LebensmittelEinheiten!$C2</calculatedColumnFormula>
    </tableColumn>
    <tableColumn id="2" xr3:uid="{CC753193-D5C4-4F99-A124-7E327B167659}" name="NahrungsmittelId" dataDxfId="18"/>
    <tableColumn id="3" xr3:uid="{754E7BF4-32D0-43CF-8D4A-E694F6FFA29B}" name="Einheit" dataDxfId="17"/>
    <tableColumn id="4" xr3:uid="{9AA4B733-3B5A-4519-8FB1-5E7ED5122165}" name="Standardeinheit" dataDxfId="16"/>
    <tableColumn id="5" xr3:uid="{6FE8A24F-AF1B-4B5F-BFA5-09426F2279D5}" name="Menge" dataDxfId="15"/>
    <tableColumn id="6" xr3:uid="{5ECDF487-B961-460D-A792-CDC8C047DB2F}" name="Portionsmenge" dataDxfId="14"/>
    <tableColumn id="7" xr3:uid="{3AEF3C80-F7A1-479A-B127-9F6E9A155CAD}" name="Kalorien" dataDxfId="13"/>
    <tableColumn id="8" xr3:uid="{2E658F22-22D4-48B9-BA06-779D6C2F3446}" name="Proteine" dataDxfId="12"/>
    <tableColumn id="9" xr3:uid="{4A60491E-D81C-4864-9755-7D4C5BD25F42}" name="Kohlenhydrate" dataDxfId="11"/>
    <tableColumn id="10" xr3:uid="{B33677BB-CA3C-4806-A714-E10EC0B3E692}" name="Zucker" dataDxfId="10"/>
    <tableColumn id="11" xr3:uid="{08608135-FF9E-4759-8A61-96EDE8CBA796}" name="Fett" dataDxfId="9"/>
    <tableColumn id="12" xr3:uid="{B88A7270-3367-49B7-A451-AA503EFD0191}" name="Ballaststoffe" dataDxfId="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69446F-2A5C-40AA-A7CF-3CD3719A27C5}" name="TblActivities" displayName="TblActivities" ref="A1:F2" insertRow="1" totalsRowShown="0">
  <autoFilter ref="A1:F2" xr:uid="{B669446F-2A5C-40AA-A7CF-3CD3719A27C5}"/>
  <tableColumns count="6">
    <tableColumn id="1" xr3:uid="{F44B5CF3-4167-4686-83F4-B723A12E1127}" name="Datum" dataDxfId="7"/>
    <tableColumn id="2" xr3:uid="{850FE318-172B-44DE-8F32-4443DD8DB1AB}" name="Schritte"/>
    <tableColumn id="3" xr3:uid="{B418FB0F-6856-4368-876E-BA3FA94BDE27}" name="Distanz"/>
    <tableColumn id="4" xr3:uid="{0E8242B4-DB98-41F4-9410-DCD22FA374D0}" name="Etagen"/>
    <tableColumn id="5" xr3:uid="{B2F8C2BC-7A5B-44A4-AA94-4AEEE598795C}" name="Kalorien Aktivitätsbedarf"/>
    <tableColumn id="6" xr3:uid="{97219D7D-FB2D-4B8D-8BC2-3BC92C47A78F}" name="Kalorien Ruhebedar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FB291-DCAA-4481-A4C8-53315D35A0D2}" name="TblBody" displayName="TblBody" ref="A1:D2" totalsRowShown="0">
  <autoFilter ref="A1:D2" xr:uid="{A43FB291-DCAA-4481-A4C8-53315D35A0D2}"/>
  <sortState xmlns:xlrd2="http://schemas.microsoft.com/office/spreadsheetml/2017/richdata2" ref="A2:D2">
    <sortCondition descending="1" ref="A1:A2"/>
  </sortState>
  <tableColumns count="4">
    <tableColumn id="1" xr3:uid="{AA8AD5AF-7B53-4641-898D-372E9B94C86F}" name="Datum" dataDxfId="6">
      <calculatedColumnFormula>TODAY()</calculatedColumnFormula>
    </tableColumn>
    <tableColumn id="2" xr3:uid="{AB4A6740-F37A-4641-9B33-3604FF63A3AD}" name="Gewicht"/>
    <tableColumn id="3" xr3:uid="{42AC7AB3-2AAD-4F40-BA21-2D9399D8674C}" name="Fett"/>
    <tableColumn id="4" xr3:uid="{E89F3E6A-2AA3-4B75-BAE4-150009DF3984}" name="BMI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C691E7-5E47-46AD-BC31-8D001815A503}" name="TblKPIs" displayName="TblKPIs" ref="A1:C5" totalsRowShown="0" headerRowDxfId="5" tableBorderDxfId="4">
  <autoFilter ref="A1:C5" xr:uid="{3EC691E7-5E47-46AD-BC31-8D001815A503}"/>
  <tableColumns count="3">
    <tableColumn id="1" xr3:uid="{B7B054F2-2E7D-4024-8B05-1E0E1530D6C1}" name="Name" dataDxfId="3"/>
    <tableColumn id="2" xr3:uid="{42655980-B8AE-4E5F-9718-CAC759C0FC4C}" name="Formel">
      <calculatedColumnFormula>_xlfn.FORMULATEXT(C2)</calculatedColumnFormula>
    </tableColumn>
    <tableColumn id="3" xr3:uid="{A0D8D47D-8357-4F01-ADED-BCA708242EAE}" name="Wer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FDA5F2A-B635-49BD-A11E-EB4C2A556D57}" name="TblCaloriesFormulas" displayName="TblCaloriesFormulas" ref="A1:E5" totalsRowShown="0">
  <autoFilter ref="A1:E5" xr:uid="{DFDA5F2A-B635-49BD-A11E-EB4C2A556D57}"/>
  <tableColumns count="5">
    <tableColumn id="1" xr3:uid="{5AD92E4E-E315-4395-8395-6E6084A0E429}" name="Quelle"/>
    <tableColumn id="2" xr3:uid="{F99058A9-68AD-499E-AEA8-D283D8C44EFB}" name="Typ"/>
    <tableColumn id="3" xr3:uid="{B896AA5C-BE33-431A-9BAA-DCA59E109E06}" name="Formel als Text"/>
    <tableColumn id="4" xr3:uid="{845D7907-600C-4F39-A385-AE72B7FC489F}" name="Formel als Text mit Werten"/>
    <tableColumn id="5" xr3:uid="{D1603830-2B62-4032-B768-9CB900DC9651}" name="Formel als Wer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249BC-FC2B-4BB0-A00B-9A841DB7243B}">
  <sheetPr codeName="Tabelle1"/>
  <dimension ref="A5:AF10"/>
  <sheetViews>
    <sheetView showGridLines="0" workbookViewId="0"/>
  </sheetViews>
  <sheetFormatPr baseColWidth="10" defaultRowHeight="14.5" x14ac:dyDescent="0.35"/>
  <cols>
    <col min="1" max="1" width="4.08984375" customWidth="1"/>
  </cols>
  <sheetData>
    <row r="5" spans="1:32" x14ac:dyDescent="0.35">
      <c r="B5" s="63" t="s">
        <v>127</v>
      </c>
      <c r="C5" s="63"/>
      <c r="D5" s="63"/>
      <c r="E5" s="63"/>
    </row>
    <row r="6" spans="1:32" x14ac:dyDescent="0.35">
      <c r="B6" s="63"/>
      <c r="C6" s="63"/>
      <c r="D6" s="63"/>
      <c r="E6" s="63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</sheetData>
  <mergeCells count="1">
    <mergeCell ref="B5:E6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FC774-5ECE-4322-8B2E-3915CB4290B8}">
  <sheetPr codeName="Tabelle2"/>
  <dimension ref="A4:AF56"/>
  <sheetViews>
    <sheetView showGridLines="0" zoomScaleNormal="100" workbookViewId="0"/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6" max="16" width="13" bestFit="1" customWidth="1"/>
    <col min="17" max="17" width="16" bestFit="1" customWidth="1"/>
    <col min="18" max="18" width="5.26953125" bestFit="1" customWidth="1"/>
    <col min="26" max="26" width="4" customWidth="1"/>
    <col min="28" max="28" width="11.6328125" bestFit="1" customWidth="1"/>
    <col min="30" max="30" width="13" bestFit="1" customWidth="1"/>
  </cols>
  <sheetData>
    <row r="4" spans="1:32" x14ac:dyDescent="0.35">
      <c r="P4" s="26"/>
    </row>
    <row r="5" spans="1:32" x14ac:dyDescent="0.35">
      <c r="B5" s="63" t="s">
        <v>112</v>
      </c>
      <c r="C5" s="63"/>
      <c r="D5" s="63"/>
      <c r="E5" s="63"/>
    </row>
    <row r="6" spans="1:32" x14ac:dyDescent="0.35">
      <c r="B6" s="63"/>
      <c r="C6" s="63"/>
      <c r="D6" s="63"/>
      <c r="E6" s="63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  <c r="T11" s="6"/>
      <c r="U11" s="4"/>
      <c r="V11" s="4"/>
      <c r="W11" s="4"/>
      <c r="X11" s="4"/>
      <c r="Y11" s="7"/>
      <c r="Z11" s="6"/>
    </row>
    <row r="12" spans="1:32" ht="14.5" customHeight="1" x14ac:dyDescent="0.35">
      <c r="B12" s="64" t="s">
        <v>111</v>
      </c>
      <c r="C12" s="64"/>
      <c r="D12" s="64"/>
      <c r="E12" s="64"/>
      <c r="F12" s="67"/>
      <c r="G12" s="8"/>
      <c r="H12" s="3"/>
      <c r="I12" s="3"/>
      <c r="J12" s="3"/>
      <c r="K12" s="3"/>
      <c r="L12" s="9"/>
      <c r="M12" s="8"/>
      <c r="N12" s="64" t="s">
        <v>121</v>
      </c>
      <c r="O12" s="64"/>
      <c r="P12" s="64"/>
      <c r="S12" s="3"/>
      <c r="T12" s="8"/>
      <c r="U12" s="3"/>
      <c r="V12" s="3"/>
      <c r="W12" s="3"/>
      <c r="X12" s="3"/>
      <c r="Y12" s="9"/>
      <c r="Z12" s="8"/>
      <c r="AA12" s="64" t="str">
        <f>"Übersicht vom " &amp; TEXT(Text_Nt_DateFrom,"tt.MM.jjjj")</f>
        <v>Übersicht vom 05.07.2022</v>
      </c>
      <c r="AB12" s="64"/>
      <c r="AC12" s="64"/>
    </row>
    <row r="13" spans="1:32" ht="14.5" customHeight="1" x14ac:dyDescent="0.5">
      <c r="B13" s="64"/>
      <c r="C13" s="64"/>
      <c r="D13" s="64"/>
      <c r="E13" s="64"/>
      <c r="F13" s="67"/>
      <c r="G13" s="8"/>
      <c r="H13" s="3"/>
      <c r="I13" s="3"/>
      <c r="J13" s="3"/>
      <c r="K13" s="3"/>
      <c r="L13" s="9"/>
      <c r="M13" s="8"/>
      <c r="N13" s="64"/>
      <c r="O13" s="64"/>
      <c r="P13" s="64"/>
      <c r="S13" s="3"/>
      <c r="T13" s="31"/>
      <c r="U13" s="3"/>
      <c r="V13" s="3"/>
      <c r="W13" s="3"/>
      <c r="X13" s="3"/>
      <c r="Y13" s="9"/>
      <c r="Z13" s="8"/>
      <c r="AA13" s="64"/>
      <c r="AB13" s="64"/>
      <c r="AC13" s="64"/>
    </row>
    <row r="14" spans="1:32" ht="14.5" customHeight="1" x14ac:dyDescent="0.5">
      <c r="G14" s="8"/>
      <c r="H14" s="3"/>
      <c r="I14" s="3"/>
      <c r="J14" s="3"/>
      <c r="K14" s="3"/>
      <c r="L14" s="9"/>
      <c r="M14" s="8"/>
      <c r="S14" s="3"/>
      <c r="T14" s="31"/>
      <c r="U14" s="3"/>
      <c r="V14" s="3"/>
      <c r="W14" s="3"/>
      <c r="X14" s="3"/>
      <c r="Y14" s="9"/>
      <c r="Z14" s="8"/>
    </row>
    <row r="15" spans="1:32" x14ac:dyDescent="0.35">
      <c r="B15" s="18" t="s">
        <v>87</v>
      </c>
      <c r="G15" s="8"/>
      <c r="H15" s="3"/>
      <c r="I15" s="3"/>
      <c r="J15" s="3"/>
      <c r="K15" s="3"/>
      <c r="L15" s="9"/>
      <c r="M15" s="8"/>
      <c r="N15" s="34" t="s">
        <v>87</v>
      </c>
      <c r="O15" s="68"/>
      <c r="P15" s="68"/>
      <c r="Q15" s="68"/>
      <c r="S15" s="3"/>
      <c r="T15" s="8"/>
      <c r="U15" s="3"/>
      <c r="V15" s="3"/>
      <c r="W15" s="3"/>
      <c r="X15" s="3"/>
      <c r="Y15" s="9"/>
      <c r="Z15" s="8"/>
      <c r="AA15" s="18" t="s">
        <v>146</v>
      </c>
      <c r="AB15" s="40" t="s">
        <v>91</v>
      </c>
      <c r="AC15" s="40" t="s">
        <v>92</v>
      </c>
      <c r="AD15" s="40" t="s">
        <v>93</v>
      </c>
      <c r="AE15" s="40" t="s">
        <v>94</v>
      </c>
      <c r="AF15" s="40" t="s">
        <v>95</v>
      </c>
    </row>
    <row r="16" spans="1:32" ht="15" thickBot="1" x14ac:dyDescent="0.4">
      <c r="B16" s="66"/>
      <c r="C16" s="66"/>
      <c r="D16" s="66"/>
      <c r="E16" s="66"/>
      <c r="G16" s="8"/>
      <c r="H16" s="3"/>
      <c r="I16" s="3"/>
      <c r="J16" s="3"/>
      <c r="K16" s="3"/>
      <c r="L16" s="9"/>
      <c r="M16" s="8"/>
      <c r="S16" s="3"/>
      <c r="T16" s="8"/>
      <c r="U16" s="3"/>
      <c r="V16" s="3"/>
      <c r="W16" s="3"/>
      <c r="X16" s="3"/>
      <c r="Y16" s="9"/>
      <c r="Z16" s="8"/>
      <c r="AA16" s="40"/>
      <c r="AB16" s="55" t="s">
        <v>182</v>
      </c>
      <c r="AC16" s="55" t="s">
        <v>183</v>
      </c>
      <c r="AD16" s="55" t="s">
        <v>183</v>
      </c>
      <c r="AE16" s="55" t="s">
        <v>183</v>
      </c>
      <c r="AF16" s="55" t="s">
        <v>183</v>
      </c>
    </row>
    <row r="17" spans="2:32" x14ac:dyDescent="0.35">
      <c r="G17" s="8"/>
      <c r="H17" s="3"/>
      <c r="I17" s="3"/>
      <c r="J17" s="3"/>
      <c r="K17" s="3"/>
      <c r="L17" s="9"/>
      <c r="M17" s="8"/>
      <c r="N17" s="34" t="s">
        <v>123</v>
      </c>
      <c r="O17" s="68"/>
      <c r="P17" s="68"/>
      <c r="Q17" s="68"/>
      <c r="S17" s="3"/>
      <c r="T17" s="8"/>
      <c r="U17" s="3"/>
      <c r="V17" s="3"/>
      <c r="W17" s="3"/>
      <c r="X17" s="3"/>
      <c r="Y17" s="9"/>
      <c r="Z17" s="8"/>
      <c r="AA17" s="40" t="s">
        <v>145</v>
      </c>
      <c r="AB17" s="36">
        <f ca="1">SUMIFS(OFFSET(TblNutrientDivision[[#All],[Datum von]],0,MATCH("Kalorien in Kcal.",TblNutrientDivision[#Headers],0)-1),OFFSET(TblNutrientDivision[[#All],[Datum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</f>
        <v>3100</v>
      </c>
      <c r="AC17" s="36">
        <f ca="1">ROUND(AB17*(SUMIFS(OFFSET(TblNutrientDivision[[#All],[Datum von]],0,MATCH("Proteine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75.599999999999994</v>
      </c>
      <c r="AD17" s="36">
        <f ca="1">ROUND(AB17*(SUMIFS(OFFSET(TblNutrientDivision[[#All],[Datum von]],0,MATCH("Kohlenhydrate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340.2</v>
      </c>
      <c r="AE17" s="36">
        <f ca="1">ROUND(AD17*(SUMIFS(OFFSET(TblNutrientDivision[[#All],[Datum von]],0,MATCH("Zucker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12.4</v>
      </c>
      <c r="AF17" s="36">
        <f ca="1">ROUND(AB17*(SUMIFS(OFFSET(TblNutrientDivision[[#All],[Datum von]],0,MATCH("Fett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Text_Nt_DateFrom)/100)/9.3,1)</f>
        <v>116.7</v>
      </c>
    </row>
    <row r="18" spans="2:32" x14ac:dyDescent="0.35">
      <c r="B18" s="18" t="s">
        <v>88</v>
      </c>
      <c r="G18" s="8"/>
      <c r="H18" s="3"/>
      <c r="I18" s="3"/>
      <c r="J18" s="3"/>
      <c r="K18" s="3"/>
      <c r="L18" s="9"/>
      <c r="M18" s="8"/>
      <c r="S18" s="3"/>
      <c r="T18" s="8"/>
      <c r="U18" s="3"/>
      <c r="V18" s="3"/>
      <c r="W18" s="3"/>
      <c r="X18" s="3"/>
      <c r="Y18" s="9"/>
      <c r="Z18" s="8"/>
      <c r="AA18" s="40" t="s">
        <v>144</v>
      </c>
      <c r="AB18" s="36">
        <f ca="1">SUMIFS(OFFSET(TblMealFoods[[#All],[Datum]],0,MATCH('Dashboard Ernährung'!$AB$15,TblMealFoods[#Headers],0)-1),OFFSET(TblMealFoods[[#All],[Datum]],0,MATCH("Datum",TblMealFoods[#Headers],0)-1),Text_Nt_DateFrom)</f>
        <v>0</v>
      </c>
      <c r="AC18" s="36">
        <f ca="1">SUMIFS(OFFSET(TblMealFoods[[#All],[Datum]],0,MATCH('Dashboard Ernährung'!$AC$15,TblMealFoods[#Headers],0)-1),OFFSET(TblMealFoods[[#All],[Datum]],0,MATCH("Datum",TblMealFoods[#Headers],0)-1),Text_Nt_DateFrom)</f>
        <v>0</v>
      </c>
      <c r="AD18" s="36">
        <f ca="1">SUMIFS(OFFSET(TblMealFoods[[#All],[Datum]],0,MATCH('Dashboard Ernährung'!$AD$15,TblMealFoods[#Headers],0)-1),OFFSET(TblMealFoods[[#All],[Datum]],0,MATCH("Datum",TblMealFoods[#Headers],0)-1),Text_Nt_DateFrom)</f>
        <v>0</v>
      </c>
      <c r="AE18" s="36">
        <f ca="1">SUMIFS(OFFSET(TblMealFoods[[#All],[Datum]],0,MATCH('Dashboard Ernährung'!$AE$15,TblMealFoods[#Headers],0)-1),OFFSET(TblMealFoods[[#All],[Datum]],0,MATCH("Datum",TblMealFoods[#Headers],0)-1),Text_Nt_DateFrom)</f>
        <v>0</v>
      </c>
      <c r="AF18" s="36">
        <f ca="1">SUMIFS(OFFSET(TblMealFoods[[#All],[Datum]],0,MATCH('Dashboard Ernährung'!$AF$15,TblMealFoods[#Headers],0)-1),OFFSET(TblMealFoods[[#All],[Datum]],0,MATCH("Datum",TblMealFoods[#Headers],0)-1),Text_Nt_DateFrom)</f>
        <v>0</v>
      </c>
    </row>
    <row r="19" spans="2:32" ht="15" thickBot="1" x14ac:dyDescent="0.4">
      <c r="B19" s="66"/>
      <c r="C19" s="66"/>
      <c r="D19" s="66"/>
      <c r="E19" s="66"/>
      <c r="G19" s="8"/>
      <c r="H19" s="3"/>
      <c r="I19" s="3"/>
      <c r="J19" s="3"/>
      <c r="K19" s="3"/>
      <c r="L19" s="9"/>
      <c r="M19" s="8"/>
      <c r="N19" s="18" t="s">
        <v>90</v>
      </c>
      <c r="O19" s="33">
        <v>0</v>
      </c>
      <c r="P19" s="33"/>
      <c r="S19" s="3"/>
      <c r="T19" s="8"/>
      <c r="U19" s="3"/>
      <c r="V19" s="3"/>
      <c r="W19" s="3"/>
      <c r="X19" s="3"/>
      <c r="Y19" s="9"/>
      <c r="Z19" s="8"/>
      <c r="AA19" s="55"/>
    </row>
    <row r="20" spans="2:32" x14ac:dyDescent="0.35">
      <c r="G20" s="8"/>
      <c r="H20" s="3"/>
      <c r="I20" s="3"/>
      <c r="J20" s="3"/>
      <c r="K20" s="3"/>
      <c r="L20" s="9"/>
      <c r="M20" s="8"/>
      <c r="S20" s="3"/>
      <c r="T20" s="8"/>
      <c r="U20" s="3"/>
      <c r="V20" s="3"/>
      <c r="W20" s="3"/>
      <c r="X20" s="3"/>
      <c r="Y20" s="9"/>
      <c r="Z20" s="8"/>
      <c r="AA20" s="40" t="s">
        <v>181</v>
      </c>
      <c r="AB20" s="36">
        <f ca="1">AB18-AB17</f>
        <v>-3100</v>
      </c>
      <c r="AC20" s="36">
        <f t="shared" ref="AC20:AF20" ca="1" si="0">AC18-AC17</f>
        <v>-75.599999999999994</v>
      </c>
      <c r="AD20" s="36">
        <f t="shared" ca="1" si="0"/>
        <v>-340.2</v>
      </c>
      <c r="AE20" s="36">
        <f t="shared" ca="1" si="0"/>
        <v>-12.4</v>
      </c>
      <c r="AF20" s="36">
        <f t="shared" ca="1" si="0"/>
        <v>-116.7</v>
      </c>
    </row>
    <row r="21" spans="2:32" x14ac:dyDescent="0.35">
      <c r="G21" s="8"/>
      <c r="H21" s="3"/>
      <c r="I21" s="3"/>
      <c r="J21" s="3"/>
      <c r="K21" s="3"/>
      <c r="L21" s="9"/>
      <c r="M21" s="8"/>
      <c r="N21" s="64" t="s">
        <v>116</v>
      </c>
      <c r="O21" s="64"/>
      <c r="P21" s="64"/>
      <c r="S21" s="3"/>
      <c r="T21" s="8"/>
      <c r="U21" s="3"/>
      <c r="V21" s="3"/>
      <c r="W21" s="3"/>
      <c r="X21" s="3"/>
      <c r="Y21" s="9"/>
      <c r="Z21" s="8"/>
    </row>
    <row r="22" spans="2:32" x14ac:dyDescent="0.35">
      <c r="G22" s="8"/>
      <c r="H22" s="3"/>
      <c r="I22" s="3"/>
      <c r="J22" s="3"/>
      <c r="K22" s="3"/>
      <c r="L22" s="9"/>
      <c r="M22" s="8"/>
      <c r="N22" s="64"/>
      <c r="O22" s="64"/>
      <c r="P22" s="64"/>
      <c r="S22" s="3"/>
      <c r="T22" s="8"/>
      <c r="U22" s="3"/>
      <c r="V22" s="3"/>
      <c r="W22" s="3"/>
      <c r="X22" s="3"/>
      <c r="Y22" s="9"/>
      <c r="Z22" s="8"/>
    </row>
    <row r="23" spans="2:32" x14ac:dyDescent="0.35">
      <c r="B23" s="18" t="s">
        <v>113</v>
      </c>
      <c r="G23" s="8"/>
      <c r="H23" s="3"/>
      <c r="I23" s="3"/>
      <c r="J23" s="3"/>
      <c r="K23" s="3"/>
      <c r="L23" s="9"/>
      <c r="M23" s="8"/>
      <c r="S23" s="3"/>
      <c r="T23" s="8"/>
      <c r="U23" s="3"/>
      <c r="V23" s="3"/>
      <c r="W23" s="3"/>
      <c r="X23" s="3"/>
      <c r="Y23" s="9"/>
      <c r="Z23" s="8"/>
    </row>
    <row r="24" spans="2:32" ht="15" thickBot="1" x14ac:dyDescent="0.4">
      <c r="B24" t="s">
        <v>114</v>
      </c>
      <c r="C24" s="20">
        <v>10</v>
      </c>
      <c r="G24" s="8"/>
      <c r="H24" s="3"/>
      <c r="I24" s="3"/>
      <c r="J24" s="3"/>
      <c r="K24" s="3"/>
      <c r="L24" s="9"/>
      <c r="M24" s="8"/>
      <c r="N24" s="18" t="s">
        <v>118</v>
      </c>
      <c r="O24" s="27">
        <v>44747</v>
      </c>
      <c r="Q24" s="18" t="s">
        <v>124</v>
      </c>
      <c r="R24" s="32"/>
      <c r="S24" s="3"/>
      <c r="T24" s="8"/>
      <c r="U24" s="3"/>
      <c r="V24" s="3"/>
      <c r="W24" s="3"/>
      <c r="X24" s="3"/>
      <c r="Y24" s="9"/>
      <c r="Z24" s="8"/>
    </row>
    <row r="25" spans="2:32" x14ac:dyDescent="0.35">
      <c r="G25" s="8"/>
      <c r="H25" s="3"/>
      <c r="I25" s="3"/>
      <c r="J25" s="3"/>
      <c r="K25" s="3"/>
      <c r="L25" s="9"/>
      <c r="M25" s="8"/>
      <c r="N25" s="3"/>
      <c r="O25" s="3"/>
      <c r="P25" s="3"/>
      <c r="S25" s="3"/>
      <c r="T25" s="8"/>
      <c r="U25" s="3"/>
      <c r="V25" s="3"/>
      <c r="W25" s="3"/>
      <c r="X25" s="3"/>
      <c r="Y25" s="9"/>
      <c r="Z25" s="8"/>
    </row>
    <row r="26" spans="2:32" ht="15" thickBot="1" x14ac:dyDescent="0.4">
      <c r="G26" s="8"/>
      <c r="H26" s="3"/>
      <c r="I26" s="3"/>
      <c r="J26" s="3"/>
      <c r="K26" s="3"/>
      <c r="L26" s="9"/>
      <c r="M26" s="8"/>
      <c r="N26" s="18" t="s">
        <v>119</v>
      </c>
      <c r="O26" s="27">
        <v>44754</v>
      </c>
      <c r="P26" s="3"/>
      <c r="Q26" s="18" t="s">
        <v>125</v>
      </c>
      <c r="R26" s="32" t="s">
        <v>189</v>
      </c>
      <c r="S26" s="3"/>
      <c r="T26" s="8"/>
      <c r="U26" s="3"/>
      <c r="V26" s="3"/>
      <c r="W26" s="3"/>
      <c r="X26" s="3"/>
      <c r="Y26" s="9"/>
      <c r="Z26" s="8"/>
    </row>
    <row r="27" spans="2:32" x14ac:dyDescent="0.35">
      <c r="G27" s="8"/>
      <c r="H27" s="3"/>
      <c r="I27" s="3"/>
      <c r="J27" s="3"/>
      <c r="K27" s="3"/>
      <c r="L27" s="9"/>
      <c r="M27" s="8"/>
      <c r="N27" s="3"/>
      <c r="O27" s="3"/>
      <c r="P27" s="3"/>
      <c r="S27" s="3"/>
      <c r="T27" s="8"/>
      <c r="U27" s="3"/>
      <c r="V27" s="3"/>
      <c r="W27" s="3"/>
      <c r="X27" s="3"/>
      <c r="Y27" s="9"/>
      <c r="Z27" s="8"/>
    </row>
    <row r="28" spans="2:32" ht="15" thickBot="1" x14ac:dyDescent="0.4">
      <c r="G28" s="8"/>
      <c r="H28" s="3"/>
      <c r="I28" s="3"/>
      <c r="J28" s="3"/>
      <c r="K28" s="3"/>
      <c r="L28" s="9"/>
      <c r="M28" s="8"/>
      <c r="N28" s="18" t="s">
        <v>117</v>
      </c>
      <c r="O28" s="21">
        <v>1</v>
      </c>
      <c r="P28" s="3"/>
      <c r="S28" s="3"/>
      <c r="T28" s="8"/>
      <c r="U28" s="3"/>
      <c r="V28" s="3"/>
      <c r="W28" s="3"/>
      <c r="X28" s="3"/>
      <c r="Y28" s="9"/>
      <c r="Z28" s="8"/>
    </row>
    <row r="29" spans="2:32" x14ac:dyDescent="0.35">
      <c r="G29" s="8"/>
      <c r="H29" s="3"/>
      <c r="I29" s="3"/>
      <c r="J29" s="3"/>
      <c r="K29" s="3"/>
      <c r="L29" s="9"/>
      <c r="M29" s="8"/>
      <c r="P29" s="3"/>
      <c r="S29" s="3"/>
      <c r="T29" s="8"/>
      <c r="U29" s="3"/>
      <c r="V29" s="3"/>
      <c r="W29" s="3"/>
      <c r="X29" s="3"/>
      <c r="Y29" s="9"/>
      <c r="Z29" s="8"/>
    </row>
    <row r="30" spans="2:32" x14ac:dyDescent="0.35">
      <c r="G30" s="8"/>
      <c r="H30" s="3"/>
      <c r="I30" s="3"/>
      <c r="J30" s="3"/>
      <c r="K30" s="3"/>
      <c r="L30" s="9"/>
      <c r="M30" s="8"/>
      <c r="N30" s="65" t="s">
        <v>126</v>
      </c>
      <c r="O30" s="65"/>
      <c r="P30" s="65"/>
      <c r="S30" s="3"/>
      <c r="T30" s="8"/>
      <c r="U30" s="3"/>
      <c r="V30" s="3"/>
      <c r="W30" s="3"/>
      <c r="X30" s="3"/>
      <c r="Y30" s="9"/>
      <c r="Z30" s="8"/>
    </row>
    <row r="31" spans="2:32" x14ac:dyDescent="0.35">
      <c r="G31" s="8"/>
      <c r="H31" s="3"/>
      <c r="I31" s="3"/>
      <c r="J31" s="3"/>
      <c r="K31" s="3"/>
      <c r="L31" s="9"/>
      <c r="M31" s="8"/>
      <c r="N31" s="65"/>
      <c r="O31" s="65"/>
      <c r="P31" s="65"/>
      <c r="S31" s="3"/>
      <c r="T31" s="8"/>
      <c r="U31" s="3"/>
      <c r="V31" s="3"/>
      <c r="W31" s="3"/>
      <c r="X31" s="3"/>
      <c r="Y31" s="9"/>
      <c r="Z31" s="8"/>
    </row>
    <row r="32" spans="2:32" x14ac:dyDescent="0.35">
      <c r="G32" s="8"/>
      <c r="H32" s="3"/>
      <c r="I32" s="3"/>
      <c r="J32" s="3"/>
      <c r="K32" s="3"/>
      <c r="L32" s="9"/>
      <c r="M32" s="24"/>
      <c r="N32" s="5"/>
      <c r="O32" s="5"/>
      <c r="P32" s="5"/>
      <c r="Q32" s="5"/>
      <c r="R32" s="5"/>
      <c r="S32" s="5"/>
      <c r="T32" s="8"/>
      <c r="U32" s="3"/>
      <c r="V32" s="3"/>
      <c r="W32" s="3"/>
      <c r="X32" s="3"/>
      <c r="Y32" s="9"/>
      <c r="Z32" s="24"/>
    </row>
    <row r="33" spans="7:25" x14ac:dyDescent="0.35">
      <c r="G33" s="8"/>
      <c r="H33" s="3"/>
      <c r="I33" s="3"/>
      <c r="J33" s="3"/>
      <c r="K33" s="3"/>
      <c r="L33" s="9"/>
      <c r="T33" s="8"/>
      <c r="U33" s="3"/>
      <c r="V33" s="3"/>
      <c r="W33" s="3"/>
      <c r="X33" s="3"/>
      <c r="Y33" s="9"/>
    </row>
    <row r="34" spans="7:25" x14ac:dyDescent="0.35">
      <c r="G34" s="8"/>
      <c r="H34" s="3"/>
      <c r="I34" s="3"/>
      <c r="J34" s="3"/>
      <c r="K34" s="3"/>
      <c r="L34" s="9"/>
      <c r="T34" s="8"/>
      <c r="U34" s="3"/>
      <c r="V34" s="3"/>
      <c r="W34" s="3"/>
      <c r="X34" s="3"/>
      <c r="Y34" s="9"/>
    </row>
    <row r="35" spans="7:25" ht="14.5" customHeight="1" x14ac:dyDescent="0.5">
      <c r="G35" s="8"/>
      <c r="H35" s="3"/>
      <c r="I35" s="3"/>
      <c r="J35" s="3"/>
      <c r="K35" s="3"/>
      <c r="L35" s="9"/>
      <c r="N35" s="56"/>
      <c r="O35" s="56"/>
      <c r="P35" s="56"/>
      <c r="T35" s="8"/>
      <c r="U35" s="3"/>
      <c r="V35" s="3"/>
      <c r="W35" s="3"/>
      <c r="X35" s="3"/>
      <c r="Y35" s="9"/>
    </row>
    <row r="36" spans="7:25" ht="14.5" customHeight="1" x14ac:dyDescent="0.5">
      <c r="G36" s="8"/>
      <c r="H36" s="3"/>
      <c r="I36" s="3"/>
      <c r="J36" s="3"/>
      <c r="K36" s="3"/>
      <c r="L36" s="9"/>
      <c r="N36" s="56"/>
      <c r="O36" s="56"/>
      <c r="P36" s="56"/>
      <c r="T36" s="8"/>
      <c r="U36" s="3"/>
      <c r="V36" s="3"/>
      <c r="W36" s="3"/>
      <c r="X36" s="3"/>
      <c r="Y36" s="9"/>
    </row>
    <row r="37" spans="7:25" x14ac:dyDescent="0.35">
      <c r="G37" s="8"/>
      <c r="H37" s="3"/>
      <c r="I37" s="3"/>
      <c r="J37" s="3"/>
      <c r="K37" s="3"/>
      <c r="L37" s="9"/>
      <c r="T37" s="8"/>
      <c r="U37" s="3"/>
      <c r="V37" s="3"/>
      <c r="W37" s="3"/>
      <c r="X37" s="3"/>
      <c r="Y37" s="9"/>
    </row>
    <row r="38" spans="7:25" x14ac:dyDescent="0.35">
      <c r="G38" s="8"/>
      <c r="H38" s="3"/>
      <c r="I38" s="3"/>
      <c r="J38" s="3"/>
      <c r="K38" s="3"/>
      <c r="L38" s="9"/>
      <c r="N38" s="36"/>
      <c r="O38" s="36"/>
      <c r="P38" s="36"/>
      <c r="Q38" s="36"/>
      <c r="T38" s="8"/>
      <c r="U38" s="3"/>
      <c r="V38" s="3"/>
      <c r="W38" s="3"/>
      <c r="X38" s="3"/>
      <c r="Y38" s="9"/>
    </row>
    <row r="39" spans="7:25" x14ac:dyDescent="0.35">
      <c r="G39" s="8"/>
      <c r="H39" s="3"/>
      <c r="I39" s="3"/>
      <c r="J39" s="3"/>
      <c r="K39" s="3"/>
      <c r="L39" s="9"/>
      <c r="N39" s="36"/>
      <c r="O39" s="36"/>
      <c r="P39" s="36"/>
      <c r="Q39" s="36"/>
      <c r="T39" s="8"/>
      <c r="U39" s="3"/>
      <c r="V39" s="3"/>
      <c r="W39" s="3"/>
      <c r="X39" s="3"/>
      <c r="Y39" s="9"/>
    </row>
    <row r="40" spans="7:25" x14ac:dyDescent="0.35">
      <c r="G40" s="8"/>
      <c r="H40" s="3"/>
      <c r="I40" s="3"/>
      <c r="J40" s="3"/>
      <c r="K40" s="3"/>
      <c r="L40" s="9"/>
      <c r="T40" s="8"/>
      <c r="U40" s="3"/>
      <c r="V40" s="3"/>
      <c r="W40" s="3"/>
      <c r="X40" s="3"/>
      <c r="Y40" s="9"/>
    </row>
    <row r="41" spans="7:25" x14ac:dyDescent="0.35">
      <c r="G41" s="8"/>
      <c r="H41" s="3"/>
      <c r="I41" s="3"/>
      <c r="J41" s="3"/>
      <c r="K41" s="3"/>
      <c r="L41" s="9"/>
      <c r="T41" s="8"/>
      <c r="U41" s="3"/>
      <c r="V41" s="3"/>
      <c r="W41" s="3"/>
      <c r="X41" s="3"/>
      <c r="Y41" s="9"/>
    </row>
    <row r="42" spans="7:25" x14ac:dyDescent="0.35">
      <c r="G42" s="8"/>
      <c r="H42" s="3"/>
      <c r="I42" s="3"/>
      <c r="J42" s="3"/>
      <c r="K42" s="3"/>
      <c r="L42" s="9"/>
      <c r="T42" s="8"/>
      <c r="U42" s="3"/>
      <c r="V42" s="3"/>
      <c r="W42" s="3"/>
      <c r="X42" s="3"/>
      <c r="Y42" s="9"/>
    </row>
    <row r="43" spans="7:25" x14ac:dyDescent="0.35">
      <c r="G43" s="8"/>
      <c r="H43" s="3"/>
      <c r="I43" s="3"/>
      <c r="J43" s="3"/>
      <c r="K43" s="3"/>
      <c r="L43" s="9"/>
      <c r="T43" s="8"/>
      <c r="U43" s="3"/>
      <c r="V43" s="3"/>
      <c r="W43" s="3"/>
      <c r="X43" s="3"/>
      <c r="Y43" s="9"/>
    </row>
    <row r="44" spans="7:25" x14ac:dyDescent="0.35">
      <c r="G44" s="8"/>
      <c r="H44" s="3"/>
      <c r="I44" s="3"/>
      <c r="J44" s="3"/>
      <c r="K44" s="3"/>
      <c r="L44" s="9"/>
      <c r="T44" s="8"/>
      <c r="U44" s="3"/>
      <c r="V44" s="3"/>
      <c r="W44" s="3"/>
      <c r="X44" s="3"/>
      <c r="Y44" s="9"/>
    </row>
    <row r="45" spans="7:25" x14ac:dyDescent="0.35">
      <c r="G45" s="8"/>
      <c r="H45" s="3"/>
      <c r="I45" s="3"/>
      <c r="J45" s="3"/>
      <c r="K45" s="3"/>
      <c r="L45" s="9"/>
      <c r="T45" s="8"/>
      <c r="U45" s="3"/>
      <c r="V45" s="3"/>
      <c r="W45" s="3"/>
      <c r="X45" s="3"/>
      <c r="Y45" s="9"/>
    </row>
    <row r="46" spans="7:25" x14ac:dyDescent="0.35">
      <c r="G46" s="8"/>
      <c r="H46" s="3"/>
      <c r="I46" s="3"/>
      <c r="J46" s="3"/>
      <c r="K46" s="3"/>
      <c r="L46" s="9"/>
      <c r="T46" s="8"/>
      <c r="U46" s="3"/>
      <c r="V46" s="3"/>
      <c r="W46" s="3"/>
      <c r="X46" s="3"/>
      <c r="Y46" s="9"/>
    </row>
    <row r="47" spans="7:25" x14ac:dyDescent="0.35">
      <c r="G47" s="8"/>
      <c r="H47" s="3"/>
      <c r="I47" s="3"/>
      <c r="J47" s="3"/>
      <c r="K47" s="3"/>
      <c r="L47" s="9"/>
      <c r="T47" s="8"/>
      <c r="U47" s="3"/>
      <c r="V47" s="3"/>
      <c r="W47" s="3"/>
      <c r="X47" s="3"/>
      <c r="Y47" s="9"/>
    </row>
    <row r="48" spans="7:25" x14ac:dyDescent="0.35">
      <c r="G48" s="8"/>
      <c r="H48" s="3"/>
      <c r="I48" s="3"/>
      <c r="J48" s="3"/>
      <c r="K48" s="3"/>
      <c r="L48" s="9"/>
      <c r="T48" s="8"/>
      <c r="U48" s="3"/>
      <c r="V48" s="3"/>
      <c r="W48" s="3"/>
      <c r="X48" s="3"/>
      <c r="Y48" s="9"/>
    </row>
    <row r="49" spans="7:25" x14ac:dyDescent="0.35">
      <c r="G49" s="8"/>
      <c r="H49" s="3"/>
      <c r="I49" s="3"/>
      <c r="J49" s="3"/>
      <c r="K49" s="3"/>
      <c r="L49" s="9"/>
      <c r="T49" s="8"/>
      <c r="U49" s="3"/>
      <c r="V49" s="3"/>
      <c r="W49" s="3"/>
      <c r="X49" s="3"/>
      <c r="Y49" s="9"/>
    </row>
    <row r="50" spans="7:25" x14ac:dyDescent="0.35">
      <c r="G50" s="8"/>
      <c r="H50" s="3"/>
      <c r="I50" s="3"/>
      <c r="J50" s="3"/>
      <c r="K50" s="3"/>
      <c r="L50" s="9"/>
      <c r="T50" s="8"/>
      <c r="U50" s="3"/>
      <c r="V50" s="3"/>
      <c r="W50" s="3"/>
      <c r="X50" s="3"/>
      <c r="Y50" s="9"/>
    </row>
    <row r="51" spans="7:25" x14ac:dyDescent="0.35">
      <c r="G51" s="8"/>
      <c r="H51" s="3"/>
      <c r="I51" s="3"/>
      <c r="J51" s="3"/>
      <c r="K51" s="3"/>
      <c r="L51" s="9"/>
      <c r="T51" s="8"/>
      <c r="U51" s="3"/>
      <c r="V51" s="3"/>
      <c r="W51" s="3"/>
      <c r="X51" s="3"/>
      <c r="Y51" s="9"/>
    </row>
    <row r="52" spans="7:25" x14ac:dyDescent="0.35">
      <c r="G52" s="8"/>
      <c r="H52" s="3"/>
      <c r="I52" s="3"/>
      <c r="J52" s="3"/>
      <c r="K52" s="3"/>
      <c r="L52" s="9"/>
      <c r="T52" s="8"/>
      <c r="U52" s="3"/>
      <c r="V52" s="3"/>
      <c r="W52" s="3"/>
      <c r="X52" s="3"/>
      <c r="Y52" s="9"/>
    </row>
    <row r="53" spans="7:25" x14ac:dyDescent="0.35">
      <c r="G53" s="8"/>
      <c r="H53" s="3"/>
      <c r="I53" s="3"/>
      <c r="J53" s="3"/>
      <c r="K53" s="3"/>
      <c r="L53" s="9"/>
      <c r="T53" s="8"/>
      <c r="U53" s="3"/>
      <c r="V53" s="3"/>
      <c r="W53" s="3"/>
      <c r="X53" s="3"/>
      <c r="Y53" s="9"/>
    </row>
    <row r="54" spans="7:25" x14ac:dyDescent="0.35">
      <c r="G54" s="8"/>
      <c r="H54" s="3"/>
      <c r="I54" s="3"/>
      <c r="J54" s="3"/>
      <c r="K54" s="3"/>
      <c r="L54" s="9"/>
      <c r="T54" s="8"/>
      <c r="U54" s="3"/>
      <c r="V54" s="3"/>
      <c r="W54" s="3"/>
      <c r="X54" s="3"/>
      <c r="Y54" s="9"/>
    </row>
    <row r="55" spans="7:25" x14ac:dyDescent="0.35">
      <c r="G55" s="8"/>
      <c r="H55" s="3"/>
      <c r="I55" s="3"/>
      <c r="J55" s="3"/>
      <c r="K55" s="3"/>
      <c r="L55" s="9"/>
      <c r="T55" s="8"/>
      <c r="U55" s="3"/>
      <c r="V55" s="3"/>
      <c r="W55" s="3"/>
      <c r="X55" s="3"/>
      <c r="Y55" s="9"/>
    </row>
    <row r="56" spans="7:25" x14ac:dyDescent="0.35">
      <c r="G56" s="24"/>
      <c r="H56" s="5"/>
      <c r="I56" s="5"/>
      <c r="J56" s="5"/>
      <c r="K56" s="5"/>
      <c r="L56" s="25"/>
      <c r="T56" s="24"/>
      <c r="U56" s="5"/>
      <c r="V56" s="5"/>
      <c r="W56" s="5"/>
      <c r="X56" s="5"/>
      <c r="Y56" s="25"/>
    </row>
  </sheetData>
  <mergeCells count="10">
    <mergeCell ref="AA12:AC13"/>
    <mergeCell ref="N30:P31"/>
    <mergeCell ref="B19:E19"/>
    <mergeCell ref="N21:P22"/>
    <mergeCell ref="B5:E6"/>
    <mergeCell ref="B12:F13"/>
    <mergeCell ref="B16:E16"/>
    <mergeCell ref="N12:P13"/>
    <mergeCell ref="O17:Q17"/>
    <mergeCell ref="O15:Q15"/>
  </mergeCells>
  <conditionalFormatting sqref="N30:P31">
    <cfRule type="expression" dxfId="0" priority="1">
      <formula>IF($O$24&gt;$O$26,TRUE,FALSE)</formula>
    </cfRule>
  </conditionalFormatting>
  <dataValidations count="2">
    <dataValidation type="list" allowBlank="1" showInputMessage="1" showErrorMessage="1" sqref="R24" xr:uid="{2A35C2D0-F03F-48EF-9F8B-0DB789C9E7BA}">
      <formula1>"1,2,3,4,5,6,7"</formula1>
    </dataValidation>
    <dataValidation type="list" allowBlank="1" showInputMessage="1" showErrorMessage="1" sqref="R26" xr:uid="{F08DE6DF-B44D-41BC-896B-C09CB05AD6AB}">
      <formula1>"Ja,Nein"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F7E2-680A-4FA7-9517-FA8AD00F344D}">
  <sheetPr codeName="Tabelle18"/>
  <dimension ref="A4:S56"/>
  <sheetViews>
    <sheetView showGridLines="0" tabSelected="1" zoomScaleNormal="100" workbookViewId="0"/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6" max="16" width="13" bestFit="1" customWidth="1"/>
    <col min="17" max="17" width="16" bestFit="1" customWidth="1"/>
    <col min="18" max="18" width="5.26953125" bestFit="1" customWidth="1"/>
  </cols>
  <sheetData>
    <row r="4" spans="1:19" x14ac:dyDescent="0.35">
      <c r="P4" s="26"/>
    </row>
    <row r="5" spans="1:19" x14ac:dyDescent="0.35">
      <c r="B5" s="63" t="s">
        <v>204</v>
      </c>
      <c r="C5" s="63"/>
      <c r="D5" s="63"/>
      <c r="E5" s="63"/>
    </row>
    <row r="6" spans="1:19" x14ac:dyDescent="0.35">
      <c r="B6" s="63"/>
      <c r="C6" s="63"/>
      <c r="D6" s="63"/>
      <c r="E6" s="63"/>
    </row>
    <row r="8" spans="1:19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19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</row>
    <row r="12" spans="1:19" ht="14.5" customHeight="1" x14ac:dyDescent="0.35">
      <c r="B12" s="64" t="s">
        <v>111</v>
      </c>
      <c r="C12" s="64"/>
      <c r="D12" s="64"/>
      <c r="E12" s="64"/>
      <c r="F12" s="67"/>
      <c r="G12" s="8"/>
      <c r="H12" s="3"/>
      <c r="I12" s="3"/>
      <c r="J12" s="3"/>
      <c r="K12" s="3"/>
      <c r="L12" s="9"/>
      <c r="M12" s="8"/>
      <c r="N12" s="64" t="s">
        <v>121</v>
      </c>
      <c r="O12" s="64"/>
      <c r="P12" s="64"/>
      <c r="S12" s="3"/>
    </row>
    <row r="13" spans="1:19" ht="14.5" customHeight="1" x14ac:dyDescent="0.35">
      <c r="B13" s="64"/>
      <c r="C13" s="64"/>
      <c r="D13" s="64"/>
      <c r="E13" s="64"/>
      <c r="F13" s="67"/>
      <c r="G13" s="8"/>
      <c r="H13" s="3"/>
      <c r="I13" s="3"/>
      <c r="J13" s="3"/>
      <c r="K13" s="3"/>
      <c r="L13" s="9"/>
      <c r="M13" s="8"/>
      <c r="N13" s="64"/>
      <c r="O13" s="64"/>
      <c r="P13" s="64"/>
      <c r="S13" s="3"/>
    </row>
    <row r="14" spans="1:19" ht="14.5" customHeight="1" x14ac:dyDescent="0.35">
      <c r="G14" s="8"/>
      <c r="H14" s="3"/>
      <c r="I14" s="3"/>
      <c r="J14" s="3"/>
      <c r="K14" s="3"/>
      <c r="L14" s="9"/>
      <c r="M14" s="8"/>
      <c r="S14" s="3"/>
    </row>
    <row r="15" spans="1:19" ht="15" thickBot="1" x14ac:dyDescent="0.4">
      <c r="B15" s="18" t="s">
        <v>87</v>
      </c>
      <c r="G15" s="8"/>
      <c r="H15" s="3"/>
      <c r="I15" s="3"/>
      <c r="J15" s="3"/>
      <c r="K15" s="3"/>
      <c r="L15" s="9"/>
      <c r="M15" s="8"/>
      <c r="N15" s="34" t="s">
        <v>87</v>
      </c>
      <c r="O15" s="75" t="s">
        <v>14</v>
      </c>
      <c r="P15" s="75"/>
      <c r="Q15" s="75"/>
      <c r="S15" s="3"/>
    </row>
    <row r="16" spans="1:19" ht="15" thickBot="1" x14ac:dyDescent="0.4">
      <c r="B16" s="66"/>
      <c r="C16" s="66"/>
      <c r="D16" s="66"/>
      <c r="E16" s="66"/>
      <c r="G16" s="8"/>
      <c r="H16" s="3"/>
      <c r="I16" s="3"/>
      <c r="J16" s="3"/>
      <c r="K16" s="3"/>
      <c r="L16" s="9"/>
      <c r="M16" s="8"/>
      <c r="S16" s="3"/>
    </row>
    <row r="17" spans="2:19" ht="15" thickBot="1" x14ac:dyDescent="0.4">
      <c r="G17" s="8"/>
      <c r="H17" s="3"/>
      <c r="I17" s="3"/>
      <c r="J17" s="3"/>
      <c r="K17" s="3"/>
      <c r="L17" s="9"/>
      <c r="M17" s="8"/>
      <c r="N17" s="34" t="s">
        <v>123</v>
      </c>
      <c r="O17" s="75"/>
      <c r="P17" s="75"/>
      <c r="Q17" s="75"/>
      <c r="S17" s="3"/>
    </row>
    <row r="18" spans="2:19" x14ac:dyDescent="0.35">
      <c r="B18" s="18" t="s">
        <v>88</v>
      </c>
      <c r="G18" s="8"/>
      <c r="H18" s="3"/>
      <c r="I18" s="3"/>
      <c r="J18" s="3"/>
      <c r="K18" s="3"/>
      <c r="L18" s="9"/>
      <c r="M18" s="8"/>
      <c r="N18" s="34"/>
      <c r="O18" s="76"/>
      <c r="P18" s="76"/>
      <c r="S18" s="3"/>
    </row>
    <row r="19" spans="2:19" ht="15" thickBot="1" x14ac:dyDescent="0.4">
      <c r="B19" s="66"/>
      <c r="C19" s="66"/>
      <c r="D19" s="66"/>
      <c r="E19" s="66"/>
      <c r="G19" s="8"/>
      <c r="H19" s="3"/>
      <c r="I19" s="3"/>
      <c r="J19" s="3"/>
      <c r="K19" s="3"/>
      <c r="L19" s="9"/>
      <c r="M19" s="8"/>
      <c r="N19" s="34"/>
      <c r="O19" s="76"/>
      <c r="P19" s="76"/>
    </row>
    <row r="20" spans="2:19" x14ac:dyDescent="0.35">
      <c r="G20" s="8"/>
      <c r="H20" s="3"/>
      <c r="I20" s="3"/>
      <c r="J20" s="3"/>
      <c r="K20" s="3"/>
      <c r="L20" s="9"/>
      <c r="M20" s="8"/>
      <c r="N20" s="70" t="s">
        <v>205</v>
      </c>
      <c r="O20" s="70"/>
      <c r="P20" s="70"/>
    </row>
    <row r="21" spans="2:19" x14ac:dyDescent="0.35">
      <c r="G21" s="8"/>
      <c r="H21" s="3"/>
      <c r="I21" s="3"/>
      <c r="J21" s="3"/>
      <c r="K21" s="3"/>
      <c r="L21" s="9"/>
      <c r="M21" s="8"/>
      <c r="N21" s="70"/>
      <c r="O21" s="70"/>
      <c r="P21" s="70"/>
    </row>
    <row r="22" spans="2:19" x14ac:dyDescent="0.35">
      <c r="G22" s="8"/>
      <c r="H22" s="3"/>
      <c r="I22" s="3"/>
      <c r="J22" s="3"/>
      <c r="K22" s="3"/>
      <c r="L22" s="9"/>
      <c r="M22" s="8"/>
    </row>
    <row r="23" spans="2:19" ht="15" thickBot="1" x14ac:dyDescent="0.4">
      <c r="B23" s="18" t="s">
        <v>113</v>
      </c>
      <c r="G23" s="8"/>
      <c r="H23" s="3"/>
      <c r="I23" s="3"/>
      <c r="J23" s="3"/>
      <c r="K23" s="3"/>
      <c r="L23" s="9"/>
      <c r="M23" s="8"/>
      <c r="N23" s="48" t="s">
        <v>205</v>
      </c>
      <c r="O23" s="33" t="s">
        <v>15</v>
      </c>
    </row>
    <row r="24" spans="2:19" ht="15" thickBot="1" x14ac:dyDescent="0.4">
      <c r="B24" t="s">
        <v>114</v>
      </c>
      <c r="C24" s="60">
        <v>10</v>
      </c>
      <c r="G24" s="8"/>
      <c r="H24" s="3"/>
      <c r="I24" s="3"/>
      <c r="J24" s="3"/>
      <c r="K24" s="3"/>
      <c r="L24" s="9"/>
      <c r="M24" s="8"/>
      <c r="N24" s="3"/>
    </row>
    <row r="25" spans="2:19" ht="15" thickBot="1" x14ac:dyDescent="0.4">
      <c r="G25" s="8"/>
      <c r="H25" s="3"/>
      <c r="I25" s="3"/>
      <c r="J25" s="3"/>
      <c r="K25" s="3"/>
      <c r="L25" s="9"/>
      <c r="M25" s="8"/>
      <c r="N25" s="48" t="s">
        <v>90</v>
      </c>
      <c r="O25" s="33">
        <v>1</v>
      </c>
    </row>
    <row r="26" spans="2:19" x14ac:dyDescent="0.35">
      <c r="G26" s="8"/>
      <c r="H26" s="3"/>
      <c r="I26" s="3"/>
      <c r="J26" s="3"/>
      <c r="K26" s="3"/>
      <c r="L26" s="9"/>
      <c r="M26" s="8"/>
      <c r="N26" s="3"/>
    </row>
    <row r="27" spans="2:19" x14ac:dyDescent="0.35">
      <c r="G27" s="8"/>
      <c r="H27" s="3"/>
      <c r="I27" s="3"/>
      <c r="J27" s="3"/>
      <c r="K27" s="3"/>
      <c r="L27" s="9"/>
      <c r="M27" s="8"/>
      <c r="N27" s="3"/>
    </row>
    <row r="28" spans="2:19" x14ac:dyDescent="0.35">
      <c r="G28" s="8"/>
      <c r="H28" s="3"/>
      <c r="I28" s="3"/>
      <c r="J28" s="3"/>
      <c r="K28" s="3"/>
      <c r="L28" s="9"/>
      <c r="M28" s="8"/>
      <c r="N28" s="3"/>
    </row>
    <row r="29" spans="2:19" x14ac:dyDescent="0.35">
      <c r="G29" s="8"/>
      <c r="H29" s="3"/>
      <c r="I29" s="3"/>
      <c r="J29" s="3"/>
      <c r="K29" s="3"/>
      <c r="L29" s="9"/>
      <c r="M29" s="8"/>
      <c r="N29" s="3"/>
    </row>
    <row r="30" spans="2:19" x14ac:dyDescent="0.35">
      <c r="G30" s="8"/>
      <c r="H30" s="3"/>
      <c r="I30" s="3"/>
      <c r="J30" s="3"/>
      <c r="K30" s="3"/>
      <c r="L30" s="9"/>
      <c r="N30" s="3"/>
    </row>
    <row r="31" spans="2:19" x14ac:dyDescent="0.35">
      <c r="G31" s="8"/>
      <c r="H31" s="3"/>
      <c r="I31" s="3"/>
      <c r="J31" s="3"/>
      <c r="K31" s="3"/>
      <c r="L31" s="9"/>
      <c r="N31" s="3"/>
    </row>
    <row r="32" spans="2:19" x14ac:dyDescent="0.35">
      <c r="G32" s="8"/>
      <c r="H32" s="3"/>
      <c r="I32" s="3"/>
      <c r="J32" s="3"/>
      <c r="K32" s="3"/>
      <c r="L32" s="9"/>
      <c r="N32" s="3"/>
      <c r="Q32" s="36"/>
    </row>
    <row r="33" spans="7:17" x14ac:dyDescent="0.35">
      <c r="G33" s="8"/>
      <c r="H33" s="3"/>
      <c r="I33" s="3"/>
      <c r="J33" s="3"/>
      <c r="K33" s="3"/>
      <c r="L33" s="9"/>
      <c r="N33" s="3"/>
      <c r="Q33" s="36"/>
    </row>
    <row r="34" spans="7:17" ht="21" x14ac:dyDescent="0.5">
      <c r="G34" s="8"/>
      <c r="H34" s="3"/>
      <c r="I34" s="3"/>
      <c r="J34" s="3"/>
      <c r="K34" s="3"/>
      <c r="L34" s="9"/>
      <c r="N34" s="56"/>
      <c r="O34" s="56"/>
      <c r="P34" s="56"/>
    </row>
    <row r="35" spans="7:17" ht="14.5" customHeight="1" x14ac:dyDescent="0.35">
      <c r="G35" s="8"/>
      <c r="H35" s="3"/>
      <c r="I35" s="3"/>
      <c r="J35" s="3"/>
      <c r="K35" s="3"/>
      <c r="L35" s="9"/>
    </row>
    <row r="36" spans="7:17" ht="14.5" customHeight="1" x14ac:dyDescent="0.35">
      <c r="G36" s="8"/>
      <c r="H36" s="3"/>
      <c r="I36" s="3"/>
      <c r="J36" s="3"/>
      <c r="K36" s="3"/>
      <c r="L36" s="9"/>
      <c r="N36" s="36"/>
      <c r="O36" s="36"/>
      <c r="P36" s="36"/>
    </row>
    <row r="37" spans="7:17" x14ac:dyDescent="0.35">
      <c r="G37" s="8"/>
      <c r="H37" s="3"/>
      <c r="I37" s="3"/>
      <c r="J37" s="3"/>
      <c r="K37" s="3"/>
      <c r="L37" s="9"/>
      <c r="N37" s="36"/>
      <c r="O37" s="36"/>
      <c r="P37" s="36"/>
    </row>
    <row r="38" spans="7:17" x14ac:dyDescent="0.35">
      <c r="G38" s="8"/>
      <c r="H38" s="3"/>
      <c r="I38" s="3"/>
      <c r="J38" s="3"/>
      <c r="K38" s="3"/>
      <c r="L38" s="9"/>
    </row>
    <row r="39" spans="7:17" x14ac:dyDescent="0.35">
      <c r="G39" s="8"/>
      <c r="H39" s="3"/>
      <c r="I39" s="3"/>
      <c r="J39" s="3"/>
      <c r="K39" s="3"/>
      <c r="L39" s="9"/>
    </row>
    <row r="40" spans="7:17" x14ac:dyDescent="0.35">
      <c r="G40" s="8"/>
      <c r="H40" s="3"/>
      <c r="I40" s="3"/>
      <c r="J40" s="3"/>
      <c r="K40" s="3"/>
      <c r="L40" s="9"/>
    </row>
    <row r="41" spans="7:17" x14ac:dyDescent="0.35">
      <c r="G41" s="8"/>
      <c r="H41" s="3"/>
      <c r="I41" s="3"/>
      <c r="J41" s="3"/>
      <c r="K41" s="3"/>
      <c r="L41" s="9"/>
    </row>
    <row r="42" spans="7:17" x14ac:dyDescent="0.35">
      <c r="G42" s="8"/>
      <c r="H42" s="3"/>
      <c r="I42" s="3"/>
      <c r="J42" s="3"/>
      <c r="K42" s="3"/>
      <c r="L42" s="9"/>
    </row>
    <row r="43" spans="7:17" x14ac:dyDescent="0.35">
      <c r="G43" s="8"/>
      <c r="H43" s="3"/>
      <c r="I43" s="3"/>
      <c r="J43" s="3"/>
      <c r="K43" s="3"/>
      <c r="L43" s="9"/>
    </row>
    <row r="44" spans="7:17" x14ac:dyDescent="0.35">
      <c r="G44" s="8"/>
      <c r="H44" s="3"/>
      <c r="I44" s="3"/>
      <c r="J44" s="3"/>
      <c r="K44" s="3"/>
      <c r="L44" s="9"/>
    </row>
    <row r="45" spans="7:17" x14ac:dyDescent="0.35">
      <c r="G45" s="8"/>
      <c r="H45" s="3"/>
      <c r="I45" s="3"/>
      <c r="J45" s="3"/>
      <c r="K45" s="3"/>
      <c r="L45" s="9"/>
    </row>
    <row r="46" spans="7:17" x14ac:dyDescent="0.35">
      <c r="G46" s="8"/>
      <c r="H46" s="3"/>
      <c r="I46" s="3"/>
      <c r="J46" s="3"/>
      <c r="K46" s="3"/>
      <c r="L46" s="9"/>
    </row>
    <row r="47" spans="7:17" x14ac:dyDescent="0.35">
      <c r="G47" s="8"/>
      <c r="H47" s="3"/>
      <c r="I47" s="3"/>
      <c r="J47" s="3"/>
      <c r="K47" s="3"/>
      <c r="L47" s="9"/>
    </row>
    <row r="48" spans="7:17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8"/>
      <c r="H54" s="3"/>
      <c r="I54" s="3"/>
      <c r="J54" s="3"/>
      <c r="K54" s="3"/>
      <c r="L54" s="9"/>
    </row>
    <row r="55" spans="7:12" x14ac:dyDescent="0.35">
      <c r="G55" s="8"/>
      <c r="H55" s="3"/>
      <c r="I55" s="3"/>
      <c r="J55" s="3"/>
      <c r="K55" s="3"/>
      <c r="L55" s="9"/>
    </row>
    <row r="56" spans="7:12" x14ac:dyDescent="0.35">
      <c r="G56" s="24"/>
      <c r="H56" s="5"/>
      <c r="I56" s="5"/>
      <c r="J56" s="5"/>
      <c r="K56" s="5"/>
      <c r="L56" s="25"/>
    </row>
  </sheetData>
  <mergeCells count="8">
    <mergeCell ref="O17:Q17"/>
    <mergeCell ref="B19:E19"/>
    <mergeCell ref="B5:E6"/>
    <mergeCell ref="B12:F13"/>
    <mergeCell ref="N12:P13"/>
    <mergeCell ref="O15:Q15"/>
    <mergeCell ref="B16:E16"/>
    <mergeCell ref="N20:P21"/>
  </mergeCells>
  <dataValidations count="1">
    <dataValidation type="list" allowBlank="1" showInputMessage="1" showErrorMessage="1" sqref="O23" xr:uid="{393DDB23-E6F6-430D-B9DD-A0440F943074}">
      <formula1>"döner,Gramm"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2E989-49DE-454C-9FAB-E95F4D8FD984}">
  <sheetPr codeName="Tabelle12"/>
  <dimension ref="A5:AF54"/>
  <sheetViews>
    <sheetView showGridLines="0" workbookViewId="0"/>
  </sheetViews>
  <sheetFormatPr baseColWidth="10" defaultRowHeight="14.5" x14ac:dyDescent="0.35"/>
  <cols>
    <col min="1" max="1" width="4.08984375" customWidth="1"/>
  </cols>
  <sheetData>
    <row r="5" spans="1:32" x14ac:dyDescent="0.35">
      <c r="B5" s="63" t="s">
        <v>131</v>
      </c>
      <c r="C5" s="63"/>
      <c r="D5" s="63"/>
      <c r="E5" s="63"/>
    </row>
    <row r="6" spans="1:32" x14ac:dyDescent="0.35">
      <c r="B6" s="63"/>
      <c r="C6" s="63"/>
      <c r="D6" s="63"/>
      <c r="E6" s="63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</row>
    <row r="12" spans="1:32" x14ac:dyDescent="0.35">
      <c r="B12" s="64" t="s">
        <v>111</v>
      </c>
      <c r="C12" s="64"/>
      <c r="D12" s="64"/>
      <c r="E12" s="64"/>
      <c r="F12" s="67"/>
      <c r="G12" s="8"/>
      <c r="H12" s="3"/>
      <c r="I12" s="3"/>
      <c r="J12" s="3"/>
      <c r="K12" s="3"/>
      <c r="L12" s="9"/>
    </row>
    <row r="13" spans="1:32" x14ac:dyDescent="0.35">
      <c r="B13" s="64"/>
      <c r="C13" s="64"/>
      <c r="D13" s="64"/>
      <c r="E13" s="64"/>
      <c r="F13" s="67"/>
      <c r="G13" s="8"/>
      <c r="H13" s="3"/>
      <c r="I13" s="3"/>
      <c r="J13" s="3"/>
      <c r="K13" s="3"/>
      <c r="L13" s="9"/>
    </row>
    <row r="14" spans="1:32" x14ac:dyDescent="0.35">
      <c r="G14" s="8"/>
      <c r="H14" s="3"/>
      <c r="I14" s="3"/>
      <c r="J14" s="3"/>
      <c r="K14" s="3"/>
      <c r="L14" s="9"/>
    </row>
    <row r="15" spans="1:32" x14ac:dyDescent="0.35">
      <c r="B15" s="18" t="s">
        <v>130</v>
      </c>
      <c r="G15" s="8"/>
      <c r="H15" s="3"/>
      <c r="I15" s="3"/>
      <c r="J15" s="3"/>
      <c r="K15" s="3"/>
      <c r="L15" s="9"/>
    </row>
    <row r="16" spans="1:32" ht="15" thickBot="1" x14ac:dyDescent="0.4">
      <c r="B16" s="38">
        <v>44682</v>
      </c>
      <c r="G16" s="8"/>
      <c r="H16" s="3"/>
      <c r="I16" s="3"/>
      <c r="J16" s="3"/>
      <c r="K16" s="3"/>
      <c r="L16" s="9"/>
    </row>
    <row r="17" spans="2:12" x14ac:dyDescent="0.35">
      <c r="G17" s="8"/>
      <c r="H17" s="3"/>
      <c r="I17" s="3"/>
      <c r="J17" s="3"/>
      <c r="K17" s="3"/>
      <c r="L17" s="9"/>
    </row>
    <row r="18" spans="2:12" x14ac:dyDescent="0.35">
      <c r="B18" s="18" t="s">
        <v>132</v>
      </c>
      <c r="D18" s="18" t="s">
        <v>133</v>
      </c>
      <c r="G18" s="8"/>
      <c r="H18" s="3"/>
      <c r="I18" s="3"/>
      <c r="J18" s="3"/>
      <c r="K18" s="3"/>
      <c r="L18" s="9"/>
    </row>
    <row r="19" spans="2:12" ht="15" thickBot="1" x14ac:dyDescent="0.4">
      <c r="B19" s="58">
        <v>110</v>
      </c>
      <c r="D19" s="58" t="s">
        <v>187</v>
      </c>
      <c r="G19" s="8"/>
      <c r="H19" s="3"/>
      <c r="I19" s="3"/>
      <c r="J19" s="3"/>
      <c r="K19" s="3"/>
      <c r="L19" s="9"/>
    </row>
    <row r="20" spans="2:12" x14ac:dyDescent="0.35">
      <c r="G20" s="8"/>
      <c r="H20" s="3"/>
      <c r="I20" s="3"/>
      <c r="J20" s="3"/>
      <c r="K20" s="3"/>
      <c r="L20" s="9"/>
    </row>
    <row r="21" spans="2:12" x14ac:dyDescent="0.35">
      <c r="G21" s="8"/>
      <c r="H21" s="3"/>
      <c r="I21" s="3"/>
      <c r="J21" s="3"/>
      <c r="K21" s="3"/>
      <c r="L21" s="9"/>
    </row>
    <row r="22" spans="2:12" x14ac:dyDescent="0.35">
      <c r="G22" s="8"/>
      <c r="H22" s="3"/>
      <c r="I22" s="3"/>
      <c r="J22" s="3"/>
      <c r="K22" s="3"/>
      <c r="L22" s="9"/>
    </row>
    <row r="23" spans="2:12" x14ac:dyDescent="0.35">
      <c r="G23" s="8"/>
      <c r="H23" s="3"/>
      <c r="I23" s="3"/>
      <c r="J23" s="3"/>
      <c r="K23" s="3"/>
      <c r="L23" s="9"/>
    </row>
    <row r="24" spans="2:12" x14ac:dyDescent="0.35">
      <c r="G24" s="8"/>
      <c r="H24" s="3"/>
      <c r="I24" s="3"/>
      <c r="J24" s="3"/>
      <c r="K24" s="3"/>
      <c r="L24" s="9"/>
    </row>
    <row r="25" spans="2:12" x14ac:dyDescent="0.35">
      <c r="G25" s="8"/>
      <c r="H25" s="3"/>
      <c r="I25" s="3"/>
      <c r="J25" s="3"/>
      <c r="K25" s="3"/>
      <c r="L25" s="9"/>
    </row>
    <row r="26" spans="2:12" x14ac:dyDescent="0.35">
      <c r="G26" s="8"/>
      <c r="H26" s="3"/>
      <c r="I26" s="3"/>
      <c r="J26" s="3"/>
      <c r="K26" s="3"/>
      <c r="L26" s="9"/>
    </row>
    <row r="27" spans="2:12" x14ac:dyDescent="0.35">
      <c r="G27" s="8"/>
      <c r="H27" s="3"/>
      <c r="I27" s="3"/>
      <c r="J27" s="3"/>
      <c r="K27" s="3"/>
      <c r="L27" s="9"/>
    </row>
    <row r="28" spans="2:12" x14ac:dyDescent="0.35">
      <c r="G28" s="8"/>
      <c r="H28" s="3"/>
      <c r="I28" s="3"/>
      <c r="J28" s="3"/>
      <c r="K28" s="3"/>
      <c r="L28" s="9"/>
    </row>
    <row r="29" spans="2:12" x14ac:dyDescent="0.35">
      <c r="G29" s="8"/>
      <c r="H29" s="3"/>
      <c r="I29" s="3"/>
      <c r="J29" s="3"/>
      <c r="K29" s="3"/>
      <c r="L29" s="9"/>
    </row>
    <row r="30" spans="2:12" x14ac:dyDescent="0.35">
      <c r="G30" s="8"/>
      <c r="H30" s="3"/>
      <c r="I30" s="3"/>
      <c r="J30" s="3"/>
      <c r="K30" s="3"/>
      <c r="L30" s="9"/>
    </row>
    <row r="31" spans="2:12" x14ac:dyDescent="0.35">
      <c r="G31" s="8"/>
      <c r="H31" s="3"/>
      <c r="I31" s="3"/>
      <c r="J31" s="3"/>
      <c r="K31" s="3"/>
      <c r="L31" s="9"/>
    </row>
    <row r="32" spans="2:12" x14ac:dyDescent="0.35">
      <c r="G32" s="8"/>
      <c r="H32" s="3"/>
      <c r="I32" s="3"/>
      <c r="J32" s="3"/>
      <c r="K32" s="3"/>
      <c r="L32" s="9"/>
    </row>
    <row r="33" spans="7:12" x14ac:dyDescent="0.35">
      <c r="G33" s="8"/>
      <c r="H33" s="3"/>
      <c r="I33" s="3"/>
      <c r="J33" s="3"/>
      <c r="K33" s="3"/>
      <c r="L33" s="9"/>
    </row>
    <row r="34" spans="7:12" x14ac:dyDescent="0.35">
      <c r="G34" s="8"/>
      <c r="H34" s="3"/>
      <c r="I34" s="3"/>
      <c r="J34" s="3"/>
      <c r="K34" s="3"/>
      <c r="L34" s="9"/>
    </row>
    <row r="35" spans="7:12" x14ac:dyDescent="0.35">
      <c r="G35" s="8"/>
      <c r="H35" s="3"/>
      <c r="I35" s="3"/>
      <c r="J35" s="3"/>
      <c r="K35" s="3"/>
      <c r="L35" s="9"/>
    </row>
    <row r="36" spans="7:12" x14ac:dyDescent="0.35">
      <c r="G36" s="8"/>
      <c r="H36" s="3"/>
      <c r="I36" s="3"/>
      <c r="J36" s="3"/>
      <c r="K36" s="3"/>
      <c r="L36" s="9"/>
    </row>
    <row r="37" spans="7:12" x14ac:dyDescent="0.35">
      <c r="G37" s="8"/>
      <c r="H37" s="3"/>
      <c r="I37" s="3"/>
      <c r="J37" s="3"/>
      <c r="K37" s="3"/>
      <c r="L37" s="9"/>
    </row>
    <row r="38" spans="7:12" x14ac:dyDescent="0.35">
      <c r="G38" s="8"/>
      <c r="H38" s="3"/>
      <c r="I38" s="3"/>
      <c r="J38" s="3"/>
      <c r="K38" s="3"/>
      <c r="L38" s="9"/>
    </row>
    <row r="39" spans="7:12" x14ac:dyDescent="0.35">
      <c r="G39" s="8"/>
      <c r="H39" s="3"/>
      <c r="I39" s="3"/>
      <c r="J39" s="3"/>
      <c r="K39" s="3"/>
      <c r="L39" s="9"/>
    </row>
    <row r="40" spans="7:12" x14ac:dyDescent="0.35">
      <c r="G40" s="8"/>
      <c r="H40" s="3"/>
      <c r="I40" s="3"/>
      <c r="J40" s="3"/>
      <c r="K40" s="3"/>
      <c r="L40" s="9"/>
    </row>
    <row r="41" spans="7:12" x14ac:dyDescent="0.35">
      <c r="G41" s="8"/>
      <c r="H41" s="3"/>
      <c r="I41" s="3"/>
      <c r="J41" s="3"/>
      <c r="K41" s="3"/>
      <c r="L41" s="9"/>
    </row>
    <row r="42" spans="7:12" x14ac:dyDescent="0.35">
      <c r="G42" s="8"/>
      <c r="H42" s="3"/>
      <c r="I42" s="3"/>
      <c r="J42" s="3"/>
      <c r="K42" s="3"/>
      <c r="L42" s="9"/>
    </row>
    <row r="43" spans="7:12" x14ac:dyDescent="0.35">
      <c r="G43" s="8"/>
      <c r="H43" s="3"/>
      <c r="I43" s="3"/>
      <c r="J43" s="3"/>
      <c r="K43" s="3"/>
      <c r="L43" s="9"/>
    </row>
    <row r="44" spans="7:12" x14ac:dyDescent="0.35">
      <c r="G44" s="8"/>
      <c r="H44" s="3"/>
      <c r="I44" s="3"/>
      <c r="J44" s="3"/>
      <c r="K44" s="3"/>
      <c r="L44" s="9"/>
    </row>
    <row r="45" spans="7:12" x14ac:dyDescent="0.35">
      <c r="G45" s="8"/>
      <c r="H45" s="3"/>
      <c r="I45" s="3"/>
      <c r="J45" s="3"/>
      <c r="K45" s="3"/>
      <c r="L45" s="9"/>
    </row>
    <row r="46" spans="7:12" x14ac:dyDescent="0.35">
      <c r="G46" s="8"/>
      <c r="H46" s="3"/>
      <c r="I46" s="3"/>
      <c r="J46" s="3"/>
      <c r="K46" s="3"/>
      <c r="L46" s="9"/>
    </row>
    <row r="47" spans="7:12" x14ac:dyDescent="0.35">
      <c r="G47" s="8"/>
      <c r="H47" s="3"/>
      <c r="I47" s="3"/>
      <c r="J47" s="3"/>
      <c r="K47" s="3"/>
      <c r="L47" s="9"/>
    </row>
    <row r="48" spans="7:12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24"/>
      <c r="H54" s="5"/>
      <c r="I54" s="5"/>
      <c r="J54" s="5"/>
      <c r="K54" s="5"/>
      <c r="L54" s="25"/>
    </row>
  </sheetData>
  <mergeCells count="2">
    <mergeCell ref="B5:E6"/>
    <mergeCell ref="B12:F1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5FFC3-711C-417D-AC54-A9B05A0B550D}">
  <sheetPr codeName="Tabelle5"/>
  <dimension ref="A3:V51"/>
  <sheetViews>
    <sheetView showGridLines="0" workbookViewId="0">
      <selection activeCell="B17" sqref="B17"/>
    </sheetView>
  </sheetViews>
  <sheetFormatPr baseColWidth="10" defaultRowHeight="14.5" x14ac:dyDescent="0.35"/>
  <cols>
    <col min="1" max="1" width="2.81640625" customWidth="1"/>
    <col min="12" max="12" width="2.6328125" customWidth="1"/>
  </cols>
  <sheetData>
    <row r="3" spans="1:10" x14ac:dyDescent="0.35">
      <c r="A3" s="71" t="s">
        <v>110</v>
      </c>
      <c r="B3" s="71"/>
      <c r="C3" s="71"/>
      <c r="D3" s="71"/>
      <c r="E3" s="71"/>
      <c r="F3" s="71"/>
      <c r="G3" s="71"/>
      <c r="H3" s="71"/>
      <c r="I3" s="71"/>
      <c r="J3" s="71"/>
    </row>
    <row r="4" spans="1:10" ht="15" thickBot="1" x14ac:dyDescent="0.4">
      <c r="A4" s="72"/>
      <c r="B4" s="72"/>
      <c r="C4" s="72"/>
      <c r="D4" s="72"/>
      <c r="E4" s="72"/>
      <c r="F4" s="72"/>
      <c r="G4" s="72"/>
      <c r="H4" s="72"/>
      <c r="I4" s="72"/>
      <c r="J4" s="72"/>
    </row>
    <row r="7" spans="1:10" x14ac:dyDescent="0.35">
      <c r="A7" s="70" t="s">
        <v>161</v>
      </c>
      <c r="B7" s="70"/>
      <c r="C7" s="70"/>
    </row>
    <row r="8" spans="1:10" ht="15" thickBot="1" x14ac:dyDescent="0.4">
      <c r="A8" s="70"/>
      <c r="B8" s="70"/>
      <c r="C8" s="70"/>
    </row>
    <row r="9" spans="1:10" x14ac:dyDescent="0.35">
      <c r="A9" s="15"/>
      <c r="B9" s="10"/>
      <c r="C9" s="10"/>
      <c r="D9" s="10"/>
      <c r="E9" s="10"/>
      <c r="F9" s="10"/>
      <c r="G9" s="10"/>
      <c r="H9" s="10"/>
      <c r="I9" s="10"/>
      <c r="J9" s="11"/>
    </row>
    <row r="10" spans="1:10" x14ac:dyDescent="0.35">
      <c r="A10" s="16"/>
      <c r="B10" s="48" t="s">
        <v>162</v>
      </c>
      <c r="D10" s="48" t="s">
        <v>164</v>
      </c>
      <c r="E10" s="3"/>
      <c r="F10" s="48" t="s">
        <v>165</v>
      </c>
      <c r="G10" s="3"/>
      <c r="H10" s="3"/>
      <c r="I10" s="3"/>
      <c r="J10" s="12"/>
    </row>
    <row r="11" spans="1:10" ht="15" thickBot="1" x14ac:dyDescent="0.4">
      <c r="A11" s="16"/>
      <c r="B11" s="53">
        <v>34464</v>
      </c>
      <c r="D11" s="51">
        <v>193</v>
      </c>
      <c r="E11" s="3"/>
      <c r="F11" s="53">
        <v>44732</v>
      </c>
      <c r="G11" s="3"/>
      <c r="H11" s="3"/>
      <c r="I11" s="3"/>
      <c r="J11" s="12"/>
    </row>
    <row r="12" spans="1:10" x14ac:dyDescent="0.35">
      <c r="A12" s="16"/>
      <c r="B12" s="3"/>
      <c r="C12" s="3"/>
      <c r="D12" s="3"/>
      <c r="E12" s="3"/>
      <c r="F12" s="3"/>
      <c r="G12" s="3"/>
      <c r="H12" s="3"/>
      <c r="I12" s="3"/>
      <c r="J12" s="12"/>
    </row>
    <row r="13" spans="1:10" x14ac:dyDescent="0.35">
      <c r="A13" s="16"/>
      <c r="B13" s="48" t="s">
        <v>159</v>
      </c>
      <c r="C13" s="3"/>
      <c r="D13" s="48" t="s">
        <v>167</v>
      </c>
      <c r="E13" s="3"/>
      <c r="F13" s="3"/>
      <c r="G13" s="3"/>
      <c r="H13" s="3"/>
      <c r="I13" s="3"/>
      <c r="J13" s="12"/>
    </row>
    <row r="14" spans="1:10" ht="15" thickBot="1" x14ac:dyDescent="0.4">
      <c r="A14" s="16"/>
      <c r="B14" s="51">
        <f ca="1">ROUNDDOWN((TODAY()-B11)/365,0)</f>
        <v>28</v>
      </c>
      <c r="C14" s="3"/>
      <c r="D14" s="54" t="s">
        <v>188</v>
      </c>
      <c r="E14" s="3"/>
      <c r="F14" s="3"/>
      <c r="G14" s="3"/>
      <c r="H14" s="3"/>
      <c r="I14" s="3"/>
      <c r="J14" s="12"/>
    </row>
    <row r="15" spans="1:10" x14ac:dyDescent="0.35">
      <c r="A15" s="16"/>
      <c r="B15" s="3"/>
      <c r="C15" s="3"/>
      <c r="D15" s="3"/>
      <c r="E15" s="3"/>
      <c r="F15" s="3"/>
      <c r="G15" s="3"/>
      <c r="H15" s="3"/>
      <c r="I15" s="3"/>
      <c r="J15" s="12"/>
    </row>
    <row r="16" spans="1:10" x14ac:dyDescent="0.35">
      <c r="A16" s="16"/>
      <c r="B16" s="48" t="s">
        <v>200</v>
      </c>
      <c r="C16" s="3"/>
      <c r="D16" s="3"/>
      <c r="E16" s="3"/>
      <c r="F16" s="3"/>
      <c r="G16" s="3"/>
      <c r="H16" s="3"/>
      <c r="I16" s="3"/>
      <c r="J16" s="12"/>
    </row>
    <row r="17" spans="1:22" ht="15" thickBot="1" x14ac:dyDescent="0.4">
      <c r="A17" s="16"/>
      <c r="B17" s="51"/>
      <c r="C17" s="3"/>
      <c r="D17" s="3"/>
      <c r="E17" s="3"/>
      <c r="F17" s="3"/>
      <c r="G17" s="3"/>
      <c r="H17" s="3"/>
      <c r="I17" s="3"/>
      <c r="J17" s="12"/>
    </row>
    <row r="18" spans="1:22" x14ac:dyDescent="0.35">
      <c r="A18" s="16"/>
      <c r="B18" s="3"/>
      <c r="C18" s="3"/>
      <c r="D18" s="3"/>
      <c r="E18" s="3"/>
      <c r="F18" s="3"/>
      <c r="G18" s="3"/>
      <c r="H18" s="3"/>
      <c r="I18" s="3"/>
      <c r="J18" s="12"/>
    </row>
    <row r="19" spans="1:22" x14ac:dyDescent="0.35">
      <c r="A19" s="16"/>
      <c r="B19" s="3"/>
      <c r="C19" s="3"/>
      <c r="D19" s="3"/>
      <c r="E19" s="3"/>
      <c r="F19" s="3"/>
      <c r="G19" s="3"/>
      <c r="H19" s="3"/>
      <c r="I19" s="3"/>
      <c r="J19" s="12"/>
    </row>
    <row r="20" spans="1:22" ht="15" thickBot="1" x14ac:dyDescent="0.4">
      <c r="A20" s="17"/>
      <c r="B20" s="13"/>
      <c r="C20" s="13"/>
      <c r="D20" s="13"/>
      <c r="E20" s="13"/>
      <c r="F20" s="13"/>
      <c r="G20" s="13"/>
      <c r="H20" s="13"/>
      <c r="I20" s="13"/>
      <c r="J20" s="14"/>
    </row>
    <row r="21" spans="1:22" x14ac:dyDescent="0.35">
      <c r="A21" s="70" t="s">
        <v>151</v>
      </c>
      <c r="B21" s="70"/>
      <c r="C21" s="70"/>
      <c r="L21" s="70" t="s">
        <v>152</v>
      </c>
      <c r="M21" s="70"/>
      <c r="N21" s="70"/>
    </row>
    <row r="22" spans="1:22" ht="15" customHeight="1" thickBot="1" x14ac:dyDescent="0.4">
      <c r="A22" s="70"/>
      <c r="B22" s="70"/>
      <c r="C22" s="70"/>
      <c r="L22" s="70"/>
      <c r="M22" s="70"/>
      <c r="N22" s="70"/>
    </row>
    <row r="23" spans="1:22" ht="14.5" customHeight="1" x14ac:dyDescent="0.35">
      <c r="A23" s="15"/>
      <c r="B23" s="10"/>
      <c r="C23" s="10"/>
      <c r="D23" s="10"/>
      <c r="E23" s="10"/>
      <c r="F23" s="10"/>
      <c r="G23" s="10"/>
      <c r="H23" s="10"/>
      <c r="I23" s="10"/>
      <c r="J23" s="11"/>
      <c r="L23" s="41"/>
      <c r="M23" s="42"/>
      <c r="N23" s="42"/>
      <c r="O23" s="42"/>
      <c r="P23" s="42"/>
      <c r="Q23" s="42"/>
      <c r="R23" s="42"/>
      <c r="S23" s="42"/>
      <c r="T23" s="42"/>
      <c r="U23" s="42"/>
      <c r="V23" s="43"/>
    </row>
    <row r="24" spans="1:22" x14ac:dyDescent="0.35">
      <c r="A24" s="16"/>
      <c r="B24" s="48" t="s">
        <v>152</v>
      </c>
      <c r="C24" s="3"/>
      <c r="D24" s="3"/>
      <c r="E24" s="3"/>
      <c r="F24" s="3"/>
      <c r="G24" s="3"/>
      <c r="H24" s="3"/>
      <c r="I24" s="3"/>
      <c r="J24" s="12"/>
      <c r="L24" s="16"/>
      <c r="M24" s="48" t="s">
        <v>154</v>
      </c>
      <c r="N24" s="3"/>
      <c r="O24" s="3"/>
      <c r="P24" s="3"/>
      <c r="Q24" s="3"/>
      <c r="R24" s="3"/>
      <c r="S24" s="3"/>
      <c r="T24" s="3"/>
      <c r="U24" s="3"/>
      <c r="V24" s="44"/>
    </row>
    <row r="25" spans="1:22" ht="15" thickBot="1" x14ac:dyDescent="0.4">
      <c r="A25" s="16"/>
      <c r="B25" s="74" t="s">
        <v>153</v>
      </c>
      <c r="C25" s="74"/>
      <c r="D25" s="49"/>
      <c r="E25" s="50"/>
      <c r="F25" s="3"/>
      <c r="G25" s="3"/>
      <c r="H25" s="3"/>
      <c r="I25" s="3"/>
      <c r="J25" s="12"/>
      <c r="L25" s="16"/>
      <c r="M25" s="69" t="s">
        <v>160</v>
      </c>
      <c r="N25" s="69"/>
      <c r="O25" s="3"/>
      <c r="P25" s="3"/>
      <c r="Q25" s="3"/>
      <c r="R25" s="3"/>
      <c r="S25" s="3"/>
      <c r="T25" s="3"/>
      <c r="U25" s="3"/>
      <c r="V25" s="44"/>
    </row>
    <row r="26" spans="1:22" x14ac:dyDescent="0.35">
      <c r="A26" s="16"/>
      <c r="J26" s="12"/>
      <c r="L26" s="16"/>
      <c r="M26" s="3"/>
      <c r="N26" s="3"/>
      <c r="O26" s="3"/>
      <c r="P26" s="3"/>
      <c r="Q26" s="3"/>
      <c r="R26" s="3"/>
      <c r="S26" s="3"/>
      <c r="T26" s="3"/>
      <c r="U26" s="3"/>
      <c r="V26" s="44"/>
    </row>
    <row r="27" spans="1:22" x14ac:dyDescent="0.35">
      <c r="A27" s="16"/>
      <c r="B27" s="3"/>
      <c r="C27" s="3"/>
      <c r="D27" s="3"/>
      <c r="E27" s="3"/>
      <c r="F27" s="3"/>
      <c r="G27" s="3"/>
      <c r="H27" s="3"/>
      <c r="I27" s="3"/>
      <c r="J27" s="12"/>
      <c r="L27" s="16"/>
      <c r="M27" s="3"/>
      <c r="N27" s="3"/>
      <c r="O27" s="3"/>
      <c r="P27" s="3"/>
      <c r="Q27" s="3"/>
      <c r="R27" s="3"/>
      <c r="S27" s="3"/>
      <c r="T27" s="3"/>
      <c r="U27" s="3"/>
      <c r="V27" s="44"/>
    </row>
    <row r="28" spans="1:22" x14ac:dyDescent="0.35">
      <c r="A28" s="16"/>
      <c r="B28" s="3"/>
      <c r="C28" s="3"/>
      <c r="D28" s="3"/>
      <c r="E28" s="3"/>
      <c r="F28" s="3"/>
      <c r="G28" s="3"/>
      <c r="H28" s="3"/>
      <c r="I28" s="3"/>
      <c r="J28" s="12"/>
      <c r="L28" s="16"/>
      <c r="M28" s="48" t="s">
        <v>168</v>
      </c>
      <c r="N28" s="3"/>
      <c r="O28" s="3"/>
      <c r="P28" s="48" t="s">
        <v>172</v>
      </c>
      <c r="Q28" s="3"/>
      <c r="R28" s="3"/>
      <c r="S28" s="3"/>
      <c r="T28" s="3"/>
      <c r="U28" s="3"/>
      <c r="V28" s="44"/>
    </row>
    <row r="29" spans="1:22" ht="15" thickBot="1" x14ac:dyDescent="0.4">
      <c r="A29" s="16"/>
      <c r="B29" s="3"/>
      <c r="C29" s="3"/>
      <c r="D29" s="3"/>
      <c r="E29" s="3"/>
      <c r="F29" s="3"/>
      <c r="G29" s="3"/>
      <c r="H29" s="3"/>
      <c r="I29" s="3"/>
      <c r="J29" s="12"/>
      <c r="L29" s="16"/>
      <c r="M29" s="69" t="s">
        <v>169</v>
      </c>
      <c r="N29" s="69"/>
      <c r="O29" s="3"/>
      <c r="P29" s="69" t="s">
        <v>175</v>
      </c>
      <c r="Q29" s="69"/>
      <c r="R29" s="69"/>
      <c r="S29" s="69"/>
      <c r="T29" s="69"/>
      <c r="U29" s="69"/>
      <c r="V29" s="44"/>
    </row>
    <row r="30" spans="1:22" x14ac:dyDescent="0.35">
      <c r="A30" s="16"/>
      <c r="B30" s="3"/>
      <c r="C30" s="3"/>
      <c r="D30" s="3"/>
      <c r="E30" s="3"/>
      <c r="F30" s="3"/>
      <c r="G30" s="3"/>
      <c r="H30" s="3"/>
      <c r="I30" s="3"/>
      <c r="J30" s="12"/>
      <c r="L30" s="16"/>
      <c r="M30" s="3"/>
      <c r="N30" s="3"/>
      <c r="O30" s="3"/>
      <c r="P30" s="3"/>
      <c r="Q30" s="3"/>
      <c r="R30" s="3"/>
      <c r="S30" s="3"/>
      <c r="T30" s="3"/>
      <c r="U30" s="3"/>
      <c r="V30" s="44"/>
    </row>
    <row r="31" spans="1:22" x14ac:dyDescent="0.35">
      <c r="A31" s="16"/>
      <c r="B31" s="3"/>
      <c r="C31" s="3"/>
      <c r="D31" s="3"/>
      <c r="E31" s="3"/>
      <c r="F31" s="3"/>
      <c r="G31" s="3"/>
      <c r="H31" s="3"/>
      <c r="I31" s="3"/>
      <c r="J31" s="12"/>
      <c r="L31" s="16"/>
      <c r="M31" s="3"/>
      <c r="N31" s="3"/>
      <c r="O31" s="3"/>
      <c r="P31" s="48" t="s">
        <v>184</v>
      </c>
      <c r="Q31" s="3"/>
      <c r="R31" s="3"/>
      <c r="S31" s="3"/>
      <c r="T31" s="3"/>
      <c r="U31" s="3"/>
      <c r="V31" s="44"/>
    </row>
    <row r="32" spans="1:22" ht="15" thickBot="1" x14ac:dyDescent="0.4">
      <c r="A32" s="16"/>
      <c r="B32" s="3"/>
      <c r="C32" s="3"/>
      <c r="D32" s="3"/>
      <c r="E32" s="3"/>
      <c r="F32" s="3"/>
      <c r="G32" s="3"/>
      <c r="H32" s="3"/>
      <c r="I32" s="3"/>
      <c r="J32" s="12"/>
      <c r="L32" s="16"/>
      <c r="M32" s="3"/>
      <c r="N32" s="3"/>
      <c r="O32" s="3"/>
      <c r="P32" s="69" t="s">
        <v>176</v>
      </c>
      <c r="Q32" s="69"/>
      <c r="R32" s="69"/>
      <c r="S32" s="69"/>
      <c r="T32" s="69"/>
      <c r="U32" s="69"/>
      <c r="V32" s="44"/>
    </row>
    <row r="33" spans="1:22" x14ac:dyDescent="0.35">
      <c r="A33" s="16"/>
      <c r="B33" s="3"/>
      <c r="C33" s="3"/>
      <c r="D33" s="3"/>
      <c r="E33" s="3"/>
      <c r="F33" s="3"/>
      <c r="G33" s="3"/>
      <c r="H33" s="3"/>
      <c r="I33" s="3"/>
      <c r="J33" s="12"/>
      <c r="L33" s="16"/>
      <c r="M33" s="3"/>
      <c r="N33" s="3"/>
      <c r="O33" s="3"/>
      <c r="P33" s="3"/>
      <c r="Q33" s="3"/>
      <c r="R33" s="3"/>
      <c r="S33" s="3"/>
      <c r="T33" s="3"/>
      <c r="U33" s="3"/>
      <c r="V33" s="44"/>
    </row>
    <row r="34" spans="1:22" x14ac:dyDescent="0.35">
      <c r="A34" s="16"/>
      <c r="B34" s="3"/>
      <c r="C34" s="3"/>
      <c r="D34" s="3"/>
      <c r="E34" s="3"/>
      <c r="F34" s="3"/>
      <c r="G34" s="3"/>
      <c r="H34" s="3"/>
      <c r="I34" s="3"/>
      <c r="J34" s="12"/>
      <c r="L34" s="16"/>
      <c r="M34" s="3"/>
      <c r="N34" s="3"/>
      <c r="O34" s="3"/>
      <c r="P34" s="48" t="s">
        <v>185</v>
      </c>
      <c r="Q34" s="3"/>
      <c r="R34" s="3"/>
      <c r="S34" s="3"/>
      <c r="T34" s="3"/>
      <c r="U34" s="3"/>
      <c r="V34" s="44"/>
    </row>
    <row r="35" spans="1:22" ht="15" thickBot="1" x14ac:dyDescent="0.4">
      <c r="A35" s="16"/>
      <c r="B35" s="3"/>
      <c r="C35" s="3"/>
      <c r="D35" s="3"/>
      <c r="E35" s="3"/>
      <c r="F35" s="3"/>
      <c r="G35" s="3"/>
      <c r="H35" s="3"/>
      <c r="I35" s="3"/>
      <c r="J35" s="12"/>
      <c r="L35" s="16"/>
      <c r="M35" s="3"/>
      <c r="N35" s="3"/>
      <c r="O35" s="3"/>
      <c r="P35" s="69">
        <f>9.99 * 110 + 6.25 * 193 - 4.92*28 + 5</f>
        <v>2172.3900000000003</v>
      </c>
      <c r="Q35" s="69"/>
      <c r="R35" s="69"/>
      <c r="S35" s="69"/>
      <c r="T35" s="69"/>
      <c r="U35" s="69"/>
      <c r="V35" s="44"/>
    </row>
    <row r="36" spans="1:22" x14ac:dyDescent="0.35">
      <c r="A36" s="16"/>
      <c r="B36" s="3"/>
      <c r="C36" s="3"/>
      <c r="D36" s="3"/>
      <c r="E36" s="3"/>
      <c r="F36" s="3"/>
      <c r="G36" s="3"/>
      <c r="H36" s="3"/>
      <c r="I36" s="3"/>
      <c r="J36" s="12"/>
      <c r="L36" s="16"/>
      <c r="M36" s="3"/>
      <c r="N36" s="3"/>
      <c r="O36" s="3"/>
      <c r="P36" s="3"/>
      <c r="Q36" s="3"/>
      <c r="R36" s="3"/>
      <c r="S36" s="3"/>
      <c r="T36" s="3"/>
      <c r="U36" s="3"/>
      <c r="V36" s="44"/>
    </row>
    <row r="37" spans="1:22" x14ac:dyDescent="0.35">
      <c r="A37" s="16"/>
      <c r="B37" s="3"/>
      <c r="C37" s="3"/>
      <c r="D37" s="3"/>
      <c r="E37" s="3"/>
      <c r="F37" s="3"/>
      <c r="G37" s="3"/>
      <c r="H37" s="3"/>
      <c r="I37" s="3"/>
      <c r="J37" s="12"/>
      <c r="L37" s="16"/>
      <c r="M37" s="3"/>
      <c r="N37" s="3"/>
      <c r="O37" s="3"/>
      <c r="P37" s="3"/>
      <c r="Q37" s="3"/>
      <c r="R37" s="3"/>
      <c r="S37" s="3"/>
      <c r="T37" s="3"/>
      <c r="U37" s="3"/>
      <c r="V37" s="44"/>
    </row>
    <row r="38" spans="1:22" x14ac:dyDescent="0.35">
      <c r="A38" s="16"/>
      <c r="B38" s="3"/>
      <c r="C38" s="3"/>
      <c r="D38" s="3"/>
      <c r="E38" s="3"/>
      <c r="F38" s="3"/>
      <c r="G38" s="3"/>
      <c r="H38" s="3"/>
      <c r="I38" s="3"/>
      <c r="J38" s="12"/>
      <c r="L38" s="16"/>
      <c r="M38" s="3"/>
      <c r="N38" s="3"/>
      <c r="O38" s="3"/>
      <c r="P38" s="3"/>
      <c r="Q38" s="3"/>
      <c r="R38" s="3"/>
      <c r="S38" s="3"/>
      <c r="T38" s="3"/>
      <c r="U38" s="3"/>
      <c r="V38" s="44"/>
    </row>
    <row r="39" spans="1:22" x14ac:dyDescent="0.35">
      <c r="A39" s="16"/>
      <c r="B39" s="3"/>
      <c r="C39" s="3"/>
      <c r="D39" s="3"/>
      <c r="E39" s="3"/>
      <c r="F39" s="3"/>
      <c r="G39" s="3"/>
      <c r="H39" s="3"/>
      <c r="I39" s="3"/>
      <c r="J39" s="12"/>
      <c r="L39" s="16"/>
      <c r="M39" s="3"/>
      <c r="N39" s="3"/>
      <c r="O39" s="3"/>
      <c r="P39" s="3"/>
      <c r="Q39" s="3"/>
      <c r="R39" s="3"/>
      <c r="S39" s="3"/>
      <c r="T39" s="3"/>
      <c r="U39" s="3"/>
      <c r="V39" s="44"/>
    </row>
    <row r="40" spans="1:22" x14ac:dyDescent="0.35">
      <c r="A40" s="16"/>
      <c r="B40" s="73"/>
      <c r="C40" s="73"/>
      <c r="D40" s="3"/>
      <c r="E40" s="3"/>
      <c r="F40" s="3"/>
      <c r="G40" s="3"/>
      <c r="H40" s="3"/>
      <c r="I40" s="3"/>
      <c r="J40" s="12"/>
      <c r="L40" s="16"/>
      <c r="M40" s="3"/>
      <c r="N40" s="3"/>
      <c r="O40" s="3"/>
      <c r="P40" s="3"/>
      <c r="Q40" s="3"/>
      <c r="R40" s="3"/>
      <c r="S40" s="3"/>
      <c r="T40" s="3"/>
      <c r="U40" s="3"/>
      <c r="V40" s="44"/>
    </row>
    <row r="41" spans="1:22" x14ac:dyDescent="0.35">
      <c r="A41" s="16"/>
      <c r="B41" s="3"/>
      <c r="C41" s="3"/>
      <c r="D41" s="3"/>
      <c r="E41" s="3"/>
      <c r="F41" s="3"/>
      <c r="G41" s="3"/>
      <c r="H41" s="3"/>
      <c r="I41" s="3"/>
      <c r="J41" s="12"/>
      <c r="L41" s="16"/>
      <c r="M41" s="3"/>
      <c r="N41" s="3"/>
      <c r="O41" s="3"/>
      <c r="P41" s="3"/>
      <c r="Q41" s="3"/>
      <c r="R41" s="3"/>
      <c r="S41" s="3"/>
      <c r="T41" s="3"/>
      <c r="U41" s="3"/>
      <c r="V41" s="44"/>
    </row>
    <row r="42" spans="1:22" x14ac:dyDescent="0.35">
      <c r="A42" s="16"/>
      <c r="B42" s="3"/>
      <c r="C42" s="3"/>
      <c r="D42" s="3"/>
      <c r="E42" s="3"/>
      <c r="F42" s="3"/>
      <c r="G42" s="3"/>
      <c r="H42" s="3"/>
      <c r="I42" s="3"/>
      <c r="J42" s="12"/>
      <c r="L42" s="16"/>
      <c r="M42" s="3"/>
      <c r="N42" s="3"/>
      <c r="O42" s="3"/>
      <c r="P42" s="3"/>
      <c r="Q42" s="3"/>
      <c r="R42" s="3"/>
      <c r="S42" s="3"/>
      <c r="T42" s="3"/>
      <c r="U42" s="3"/>
      <c r="V42" s="44"/>
    </row>
    <row r="43" spans="1:22" x14ac:dyDescent="0.35">
      <c r="A43" s="16"/>
      <c r="B43" s="3"/>
      <c r="C43" s="3"/>
      <c r="D43" s="3"/>
      <c r="E43" s="3"/>
      <c r="F43" s="3"/>
      <c r="G43" s="3"/>
      <c r="H43" s="3"/>
      <c r="I43" s="3"/>
      <c r="J43" s="12"/>
      <c r="L43" s="16"/>
      <c r="M43" s="3"/>
      <c r="N43" s="3"/>
      <c r="O43" s="3"/>
      <c r="P43" s="3"/>
      <c r="Q43" s="3"/>
      <c r="R43" s="3"/>
      <c r="S43" s="3"/>
      <c r="T43" s="3"/>
      <c r="U43" s="3"/>
      <c r="V43" s="44"/>
    </row>
    <row r="44" spans="1:22" x14ac:dyDescent="0.35">
      <c r="A44" s="16"/>
      <c r="B44" s="3"/>
      <c r="C44" s="3"/>
      <c r="D44" s="3"/>
      <c r="E44" s="3"/>
      <c r="F44" s="3"/>
      <c r="G44" s="3"/>
      <c r="H44" s="3"/>
      <c r="I44" s="3"/>
      <c r="J44" s="12"/>
      <c r="L44" s="16"/>
      <c r="M44" s="3"/>
      <c r="N44" s="3"/>
      <c r="O44" s="3"/>
      <c r="P44" s="3"/>
      <c r="Q44" s="3"/>
      <c r="R44" s="3"/>
      <c r="S44" s="3"/>
      <c r="T44" s="3"/>
      <c r="U44" s="3"/>
      <c r="V44" s="44"/>
    </row>
    <row r="45" spans="1:22" x14ac:dyDescent="0.35">
      <c r="A45" s="16"/>
      <c r="B45" s="3"/>
      <c r="C45" s="3"/>
      <c r="D45" s="3"/>
      <c r="E45" s="3"/>
      <c r="F45" s="3"/>
      <c r="G45" s="3"/>
      <c r="H45" s="3"/>
      <c r="I45" s="3"/>
      <c r="J45" s="12"/>
      <c r="L45" s="16"/>
      <c r="M45" s="3"/>
      <c r="N45" s="3"/>
      <c r="O45" s="3"/>
      <c r="P45" s="3"/>
      <c r="Q45" s="3"/>
      <c r="R45" s="3"/>
      <c r="S45" s="3"/>
      <c r="T45" s="3"/>
      <c r="U45" s="3"/>
      <c r="V45" s="44"/>
    </row>
    <row r="46" spans="1:22" x14ac:dyDescent="0.35">
      <c r="A46" s="16"/>
      <c r="B46" s="3"/>
      <c r="C46" s="3"/>
      <c r="D46" s="3"/>
      <c r="E46" s="3"/>
      <c r="F46" s="3"/>
      <c r="G46" s="3"/>
      <c r="H46" s="3"/>
      <c r="I46" s="3"/>
      <c r="J46" s="12"/>
      <c r="L46" s="16"/>
      <c r="M46" s="3"/>
      <c r="N46" s="3"/>
      <c r="O46" s="3"/>
      <c r="P46" s="3"/>
      <c r="Q46" s="3"/>
      <c r="R46" s="3"/>
      <c r="S46" s="3"/>
      <c r="T46" s="3"/>
      <c r="U46" s="3"/>
      <c r="V46" s="44"/>
    </row>
    <row r="47" spans="1:22" x14ac:dyDescent="0.35">
      <c r="A47" s="16"/>
      <c r="B47" s="3"/>
      <c r="C47" s="3"/>
      <c r="D47" s="3"/>
      <c r="E47" s="3"/>
      <c r="F47" s="3"/>
      <c r="G47" s="3"/>
      <c r="H47" s="3"/>
      <c r="I47" s="3"/>
      <c r="J47" s="12"/>
      <c r="L47" s="16"/>
      <c r="M47" s="3"/>
      <c r="N47" s="3"/>
      <c r="O47" s="3"/>
      <c r="P47" s="3"/>
      <c r="Q47" s="3"/>
      <c r="R47" s="3"/>
      <c r="S47" s="3"/>
      <c r="T47" s="3"/>
      <c r="U47" s="3"/>
      <c r="V47" s="44"/>
    </row>
    <row r="48" spans="1:22" x14ac:dyDescent="0.35">
      <c r="A48" s="16"/>
      <c r="B48" s="3"/>
      <c r="C48" s="3"/>
      <c r="D48" s="3"/>
      <c r="E48" s="3"/>
      <c r="F48" s="3"/>
      <c r="G48" s="3"/>
      <c r="H48" s="3"/>
      <c r="I48" s="3"/>
      <c r="J48" s="12"/>
      <c r="L48" s="16"/>
      <c r="M48" s="3"/>
      <c r="N48" s="3"/>
      <c r="O48" s="3"/>
      <c r="P48" s="3"/>
      <c r="Q48" s="3"/>
      <c r="R48" s="3"/>
      <c r="S48" s="3"/>
      <c r="T48" s="3"/>
      <c r="U48" s="3"/>
      <c r="V48" s="44"/>
    </row>
    <row r="49" spans="1:22" x14ac:dyDescent="0.35">
      <c r="A49" s="16"/>
      <c r="B49" s="3"/>
      <c r="C49" s="3"/>
      <c r="D49" s="3"/>
      <c r="E49" s="3"/>
      <c r="F49" s="3"/>
      <c r="G49" s="3"/>
      <c r="H49" s="3"/>
      <c r="I49" s="3"/>
      <c r="J49" s="12"/>
      <c r="L49" s="16"/>
      <c r="M49" s="3"/>
      <c r="N49" s="3"/>
      <c r="O49" s="3"/>
      <c r="P49" s="3"/>
      <c r="Q49" s="3"/>
      <c r="R49" s="3"/>
      <c r="S49" s="3"/>
      <c r="T49" s="3"/>
      <c r="U49" s="3"/>
      <c r="V49" s="44"/>
    </row>
    <row r="50" spans="1:22" x14ac:dyDescent="0.35">
      <c r="A50" s="16"/>
      <c r="B50" s="3"/>
      <c r="C50" s="3"/>
      <c r="D50" s="3"/>
      <c r="E50" s="3"/>
      <c r="F50" s="3"/>
      <c r="G50" s="3"/>
      <c r="H50" s="3"/>
      <c r="I50" s="3"/>
      <c r="J50" s="12"/>
      <c r="L50" s="16"/>
      <c r="M50" s="3"/>
      <c r="N50" s="3"/>
      <c r="O50" s="3"/>
      <c r="P50" s="3"/>
      <c r="Q50" s="3"/>
      <c r="R50" s="3"/>
      <c r="S50" s="3"/>
      <c r="T50" s="3"/>
      <c r="U50" s="3"/>
      <c r="V50" s="44"/>
    </row>
    <row r="51" spans="1:22" ht="15" thickBot="1" x14ac:dyDescent="0.4">
      <c r="A51" s="17"/>
      <c r="B51" s="13"/>
      <c r="C51" s="13"/>
      <c r="D51" s="13"/>
      <c r="E51" s="13"/>
      <c r="F51" s="13"/>
      <c r="G51" s="13"/>
      <c r="H51" s="13"/>
      <c r="I51" s="13"/>
      <c r="J51" s="14"/>
      <c r="L51" s="45"/>
      <c r="M51" s="46"/>
      <c r="N51" s="46"/>
      <c r="O51" s="46"/>
      <c r="P51" s="46"/>
      <c r="Q51" s="46"/>
      <c r="R51" s="46"/>
      <c r="S51" s="46"/>
      <c r="T51" s="46"/>
      <c r="U51" s="46"/>
      <c r="V51" s="47"/>
    </row>
  </sheetData>
  <mergeCells count="11">
    <mergeCell ref="A3:J4"/>
    <mergeCell ref="A7:C8"/>
    <mergeCell ref="A21:C22"/>
    <mergeCell ref="B40:C40"/>
    <mergeCell ref="B25:C25"/>
    <mergeCell ref="P32:U32"/>
    <mergeCell ref="P35:U35"/>
    <mergeCell ref="L21:N22"/>
    <mergeCell ref="M25:N25"/>
    <mergeCell ref="M29:N29"/>
    <mergeCell ref="P29:U29"/>
  </mergeCells>
  <dataValidations count="3">
    <dataValidation type="list" allowBlank="1" showInputMessage="1" showErrorMessage="1" sqref="B25:C25" xr:uid="{15D320E3-9E9D-4CAC-98FE-CE22528A835D}">
      <formula1>"OnlyFitness,Individuell"</formula1>
    </dataValidation>
    <dataValidation type="list" allowBlank="1" showInputMessage="1" showErrorMessage="1" sqref="D14" xr:uid="{2247C875-EFC9-4D70-B787-2D4F9655505A}">
      <formula1>"Männlich,Weiblich"</formula1>
    </dataValidation>
    <dataValidation type="list" allowBlank="1" showInputMessage="1" showErrorMessage="1" sqref="M29:N29" xr:uid="{55A8861A-6766-4FFB-8548-E17881B6BF2F}">
      <formula1>"Grundbedarf,Trainingsbedarf,Aktivitätsbedarf"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2775B6-1892-49AF-AA2D-E19DD6452A18}">
          <x14:formula1>
            <xm:f>Rohdaten_KPIs!$A$2:$A$45</xm:f>
          </x14:formula1>
          <xm:sqref>M25:N25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D5581-6962-4DC8-8E7A-7D37BB52BF66}">
  <sheetPr codeName="Tabelle6"/>
  <dimension ref="A1:C8"/>
  <sheetViews>
    <sheetView workbookViewId="0">
      <selection sqref="A1:C8"/>
    </sheetView>
  </sheetViews>
  <sheetFormatPr baseColWidth="10" defaultRowHeight="14.5" x14ac:dyDescent="0.35"/>
  <cols>
    <col min="1" max="1" width="12.36328125" customWidth="1"/>
    <col min="2" max="2" width="14" customWidth="1"/>
    <col min="3" max="3" width="12.453125" customWidth="1"/>
  </cols>
  <sheetData>
    <row r="1" spans="1:3" x14ac:dyDescent="0.35">
      <c r="A1" t="s">
        <v>191</v>
      </c>
      <c r="B1" t="s">
        <v>192</v>
      </c>
      <c r="C1" t="s">
        <v>136</v>
      </c>
    </row>
    <row r="2" spans="1:3" x14ac:dyDescent="0.35">
      <c r="A2" t="s">
        <v>193</v>
      </c>
      <c r="B2" t="b">
        <v>1</v>
      </c>
      <c r="C2" t="b">
        <v>1</v>
      </c>
    </row>
    <row r="3" spans="1:3" x14ac:dyDescent="0.35">
      <c r="A3" t="s">
        <v>194</v>
      </c>
      <c r="B3" t="b">
        <v>1</v>
      </c>
      <c r="C3" t="b">
        <v>1</v>
      </c>
    </row>
    <row r="4" spans="1:3" x14ac:dyDescent="0.35">
      <c r="A4" t="s">
        <v>195</v>
      </c>
      <c r="B4" t="b">
        <v>1</v>
      </c>
      <c r="C4" t="b">
        <v>0</v>
      </c>
    </row>
    <row r="5" spans="1:3" x14ac:dyDescent="0.35">
      <c r="A5" t="s">
        <v>196</v>
      </c>
      <c r="B5" t="b">
        <v>1</v>
      </c>
      <c r="C5" t="b">
        <v>1</v>
      </c>
    </row>
    <row r="6" spans="1:3" x14ac:dyDescent="0.35">
      <c r="A6" t="s">
        <v>197</v>
      </c>
      <c r="B6" t="b">
        <v>1</v>
      </c>
      <c r="C6" t="b">
        <v>1</v>
      </c>
    </row>
    <row r="7" spans="1:3" x14ac:dyDescent="0.35">
      <c r="A7" t="s">
        <v>198</v>
      </c>
      <c r="B7" t="b">
        <v>0</v>
      </c>
      <c r="C7" t="b">
        <v>0</v>
      </c>
    </row>
    <row r="8" spans="1:3" x14ac:dyDescent="0.35">
      <c r="A8" t="s">
        <v>199</v>
      </c>
      <c r="B8" t="b">
        <v>0</v>
      </c>
      <c r="C8" t="b">
        <v>0</v>
      </c>
    </row>
  </sheetData>
  <phoneticPr fontId="10" type="noConversion"/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FA78A-F80E-4DBE-9C35-ACDCDB1D63CA}">
  <sheetPr codeName="Tabelle14"/>
  <dimension ref="A1:C1"/>
  <sheetViews>
    <sheetView workbookViewId="0"/>
  </sheetViews>
  <sheetFormatPr baseColWidth="10" defaultRowHeight="14.5" x14ac:dyDescent="0.35"/>
  <sheetData>
    <row r="1" spans="1:3" x14ac:dyDescent="0.35">
      <c r="A1" t="s">
        <v>201</v>
      </c>
      <c r="B1" t="s">
        <v>202</v>
      </c>
      <c r="C1" t="s">
        <v>203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E213E-73D5-41FF-803A-1FA39A22C88D}">
  <sheetPr codeName="Tabelle13"/>
  <dimension ref="A1:L11"/>
  <sheetViews>
    <sheetView workbookViewId="0">
      <selection activeCell="L2" sqref="L2"/>
    </sheetView>
  </sheetViews>
  <sheetFormatPr baseColWidth="10" defaultRowHeight="14.5" x14ac:dyDescent="0.35"/>
  <cols>
    <col min="1" max="1" width="9.90625" bestFit="1" customWidth="1"/>
    <col min="2" max="2" width="18" bestFit="1" customWidth="1"/>
    <col min="3" max="4" width="18.54296875" customWidth="1"/>
    <col min="5" max="5" width="13.36328125" customWidth="1"/>
    <col min="6" max="6" width="13.1796875" customWidth="1"/>
    <col min="7" max="8" width="15" customWidth="1"/>
    <col min="9" max="9" width="14.08984375" customWidth="1"/>
    <col min="10" max="10" width="11.81640625" customWidth="1"/>
    <col min="11" max="11" width="12.7265625" bestFit="1" customWidth="1"/>
    <col min="12" max="12" width="16.26953125" bestFit="1" customWidth="1"/>
  </cols>
  <sheetData>
    <row r="1" spans="1:12" x14ac:dyDescent="0.35">
      <c r="A1" t="s">
        <v>84</v>
      </c>
      <c r="B1" t="s">
        <v>134</v>
      </c>
      <c r="C1" t="s">
        <v>142</v>
      </c>
      <c r="D1" t="s">
        <v>140</v>
      </c>
      <c r="E1" t="s">
        <v>128</v>
      </c>
      <c r="F1" t="s">
        <v>95</v>
      </c>
      <c r="G1" t="s">
        <v>137</v>
      </c>
      <c r="H1" t="s">
        <v>138</v>
      </c>
      <c r="I1" t="s">
        <v>139</v>
      </c>
      <c r="J1" t="s">
        <v>135</v>
      </c>
      <c r="K1" t="s">
        <v>136</v>
      </c>
      <c r="L1" t="s">
        <v>190</v>
      </c>
    </row>
    <row r="2" spans="1:12" x14ac:dyDescent="0.35">
      <c r="A2" s="26">
        <v>44738</v>
      </c>
      <c r="B2">
        <f>SUMIF(TblMealFoods[Datum],TblSummary[[#This Row],[Datum]],TblMealFoods[Kalorien])</f>
        <v>0</v>
      </c>
      <c r="C2">
        <f>SUMIF(TblActivities[Datum],TblSummary[[#This Row],[Datum]],TblActivities[Kalorien Aktivitätsbedarf])</f>
        <v>0</v>
      </c>
      <c r="D2">
        <f>TblSummary[[#This Row],[Kalorien gegessen]]-TblSummary[[#This Row],[Kalorien Aktivitätsbedarf]]</f>
        <v>0</v>
      </c>
      <c r="E2">
        <f ca="1">IFERROR(VLOOKUP(TblSummary[[#This Row],[Datum]],TblBody[#All],MATCH(TblSummary[[#Headers],[Gewicht]],TblBody[#Headers],0),FALSE),0)</f>
        <v>0</v>
      </c>
      <c r="F2">
        <f ca="1">IFERROR(VLOOKUP(TblSummary[[#This Row],[Datum]],TblBody[#All],MATCH(TblSummary[[#Headers],[Fett]],TblBody[#Headers],0),FALSE),0)</f>
        <v>0</v>
      </c>
      <c r="G2">
        <f>SUMIF(TblActivities[Datum],TblSummary[[#This Row],[Datum]],TblActivities[Schritte])</f>
        <v>0</v>
      </c>
      <c r="H2">
        <f>SUMIF(TblActivities[Datum],TblSummary[[#This Row],[Datum]],TblActivities[Distanz])</f>
        <v>0</v>
      </c>
      <c r="J2" t="b">
        <f>VLOOKUP(TEXT(TblSummary[[#This Row],[Datum]],"tttt"),TblWorkdays[#All],2,FALSE)</f>
        <v>0</v>
      </c>
      <c r="K2" t="b">
        <f>VLOOKUP(TEXT(TblSummary[[#This Row],[Datum]],"tttt"),TblWorkdays[#All],3,FALSE)</f>
        <v>0</v>
      </c>
    </row>
    <row r="3" spans="1:12" x14ac:dyDescent="0.35">
      <c r="A3" s="26">
        <v>44739</v>
      </c>
      <c r="B3">
        <f>SUMIF(TblMealFoods[Datum],TblSummary[[#This Row],[Datum]],TblMealFoods[Kalorien])</f>
        <v>0</v>
      </c>
      <c r="C3" s="59">
        <f>SUMIF(TblActivities[Datum],TblSummary[[#This Row],[Datum]],TblActivities[Kalorien Aktivitätsbedarf])</f>
        <v>0</v>
      </c>
      <c r="D3" s="59">
        <f>TblSummary[[#This Row],[Kalorien gegessen]]-TblSummary[[#This Row],[Kalorien Aktivitätsbedarf]]</f>
        <v>0</v>
      </c>
      <c r="E3" s="59">
        <f ca="1">IFERROR(VLOOKUP(TblSummary[[#This Row],[Datum]],TblBody[#All],MATCH(TblSummary[[#Headers],[Gewicht]],TblBody[#Headers],0),FALSE),0)</f>
        <v>0</v>
      </c>
      <c r="F3" s="59">
        <f ca="1">IFERROR(VLOOKUP(TblSummary[[#This Row],[Datum]],TblBody[#All],MATCH(TblSummary[[#Headers],[Fett]],TblBody[#Headers],0),FALSE),0)</f>
        <v>0</v>
      </c>
      <c r="G3" s="59">
        <f>SUMIF(TblActivities[Datum],TblSummary[[#This Row],[Datum]],TblActivities[Schritte])</f>
        <v>0</v>
      </c>
      <c r="H3" s="59">
        <f>SUMIF(TblActivities[Datum],TblSummary[[#This Row],[Datum]],TblActivities[Distanz])</f>
        <v>0</v>
      </c>
      <c r="J3" t="b">
        <f>VLOOKUP(TEXT(TblSummary[[#This Row],[Datum]],"tttt"),TblWorkdays[#All],2,FALSE)</f>
        <v>1</v>
      </c>
      <c r="K3" t="b">
        <f>VLOOKUP(TEXT(TblSummary[[#This Row],[Datum]],"tttt"),TblWorkdays[#All],3,FALSE)</f>
        <v>1</v>
      </c>
    </row>
    <row r="4" spans="1:12" x14ac:dyDescent="0.35">
      <c r="A4" s="26">
        <v>44740</v>
      </c>
      <c r="B4">
        <f>SUMIF(TblMealFoods[Datum],TblSummary[[#This Row],[Datum]],TblMealFoods[Kalorien])</f>
        <v>0</v>
      </c>
      <c r="C4" s="59">
        <f>SUMIF(TblActivities[Datum],TblSummary[[#This Row],[Datum]],TblActivities[Kalorien Aktivitätsbedarf])</f>
        <v>0</v>
      </c>
      <c r="D4" s="59">
        <f>TblSummary[[#This Row],[Kalorien gegessen]]-TblSummary[[#This Row],[Kalorien Aktivitätsbedarf]]</f>
        <v>0</v>
      </c>
      <c r="E4" s="59">
        <f ca="1">IFERROR(VLOOKUP(TblSummary[[#This Row],[Datum]],TblBody[#All],MATCH(TblSummary[[#Headers],[Gewicht]],TblBody[#Headers],0),FALSE),0)</f>
        <v>0</v>
      </c>
      <c r="F4" s="59">
        <f ca="1">IFERROR(VLOOKUP(TblSummary[[#This Row],[Datum]],TblBody[#All],MATCH(TblSummary[[#Headers],[Fett]],TblBody[#Headers],0),FALSE),0)</f>
        <v>0</v>
      </c>
      <c r="G4" s="59">
        <f>SUMIF(TblActivities[Datum],TblSummary[[#This Row],[Datum]],TblActivities[Schritte])</f>
        <v>0</v>
      </c>
      <c r="H4" s="59">
        <f>SUMIF(TblActivities[Datum],TblSummary[[#This Row],[Datum]],TblActivities[Distanz])</f>
        <v>0</v>
      </c>
      <c r="J4" t="b">
        <f>VLOOKUP(TEXT(TblSummary[[#This Row],[Datum]],"tttt"),TblWorkdays[#All],2,FALSE)</f>
        <v>1</v>
      </c>
      <c r="K4" t="b">
        <f>VLOOKUP(TEXT(TblSummary[[#This Row],[Datum]],"tttt"),TblWorkdays[#All],3,FALSE)</f>
        <v>1</v>
      </c>
    </row>
    <row r="5" spans="1:12" x14ac:dyDescent="0.35">
      <c r="A5" s="26">
        <v>44741</v>
      </c>
      <c r="B5">
        <f>SUMIF(TblMealFoods[Datum],TblSummary[[#This Row],[Datum]],TblMealFoods[Kalorien])</f>
        <v>0</v>
      </c>
      <c r="C5" s="59">
        <f>SUMIF(TblActivities[Datum],TblSummary[[#This Row],[Datum]],TblActivities[Kalorien Aktivitätsbedarf])</f>
        <v>0</v>
      </c>
      <c r="D5" s="59">
        <f>TblSummary[[#This Row],[Kalorien gegessen]]-TblSummary[[#This Row],[Kalorien Aktivitätsbedarf]]</f>
        <v>0</v>
      </c>
      <c r="E5" s="59">
        <f ca="1">IFERROR(VLOOKUP(TblSummary[[#This Row],[Datum]],TblBody[#All],MATCH(TblSummary[[#Headers],[Gewicht]],TblBody[#Headers],0),FALSE),0)</f>
        <v>0</v>
      </c>
      <c r="F5" s="59">
        <f ca="1">IFERROR(VLOOKUP(TblSummary[[#This Row],[Datum]],TblBody[#All],MATCH(TblSummary[[#Headers],[Fett]],TblBody[#Headers],0),FALSE),0)</f>
        <v>0</v>
      </c>
      <c r="G5" s="59">
        <f>SUMIF(TblActivities[Datum],TblSummary[[#This Row],[Datum]],TblActivities[Schritte])</f>
        <v>0</v>
      </c>
      <c r="H5" s="59">
        <f>SUMIF(TblActivities[Datum],TblSummary[[#This Row],[Datum]],TblActivities[Distanz])</f>
        <v>0</v>
      </c>
      <c r="J5" t="b">
        <f>VLOOKUP(TEXT(TblSummary[[#This Row],[Datum]],"tttt"),TblWorkdays[#All],2,FALSE)</f>
        <v>1</v>
      </c>
      <c r="K5" t="b">
        <f>VLOOKUP(TEXT(TblSummary[[#This Row],[Datum]],"tttt"),TblWorkdays[#All],3,FALSE)</f>
        <v>0</v>
      </c>
    </row>
    <row r="6" spans="1:12" x14ac:dyDescent="0.35">
      <c r="A6" s="26">
        <v>44742</v>
      </c>
      <c r="B6">
        <f>SUMIF(TblMealFoods[Datum],TblSummary[[#This Row],[Datum]],TblMealFoods[Kalorien])</f>
        <v>0</v>
      </c>
      <c r="C6" s="59">
        <f>SUMIF(TblActivities[Datum],TblSummary[[#This Row],[Datum]],TblActivities[Kalorien Aktivitätsbedarf])</f>
        <v>0</v>
      </c>
      <c r="D6" s="59">
        <f>TblSummary[[#This Row],[Kalorien gegessen]]-TblSummary[[#This Row],[Kalorien Aktivitätsbedarf]]</f>
        <v>0</v>
      </c>
      <c r="E6" s="59">
        <f ca="1">IFERROR(VLOOKUP(TblSummary[[#This Row],[Datum]],TblBody[#All],MATCH(TblSummary[[#Headers],[Gewicht]],TblBody[#Headers],0),FALSE),0)</f>
        <v>0</v>
      </c>
      <c r="F6" s="59">
        <f ca="1">IFERROR(VLOOKUP(TblSummary[[#This Row],[Datum]],TblBody[#All],MATCH(TblSummary[[#Headers],[Fett]],TblBody[#Headers],0),FALSE),0)</f>
        <v>0</v>
      </c>
      <c r="G6" s="59">
        <f>SUMIF(TblActivities[Datum],TblSummary[[#This Row],[Datum]],TblActivities[Schritte])</f>
        <v>0</v>
      </c>
      <c r="H6" s="59">
        <f>SUMIF(TblActivities[Datum],TblSummary[[#This Row],[Datum]],TblActivities[Distanz])</f>
        <v>0</v>
      </c>
      <c r="J6" t="b">
        <f>VLOOKUP(TEXT(TblSummary[[#This Row],[Datum]],"tttt"),TblWorkdays[#All],2,FALSE)</f>
        <v>1</v>
      </c>
      <c r="K6" t="b">
        <f>VLOOKUP(TEXT(TblSummary[[#This Row],[Datum]],"tttt"),TblWorkdays[#All],3,FALSE)</f>
        <v>1</v>
      </c>
    </row>
    <row r="7" spans="1:12" x14ac:dyDescent="0.35">
      <c r="A7" s="26">
        <v>44743</v>
      </c>
      <c r="B7">
        <f>SUMIF(TblMealFoods[Datum],TblSummary[[#This Row],[Datum]],TblMealFoods[Kalorien])</f>
        <v>0</v>
      </c>
      <c r="C7" s="59">
        <f>SUMIF(TblActivities[Datum],TblSummary[[#This Row],[Datum]],TblActivities[Kalorien Aktivitätsbedarf])</f>
        <v>0</v>
      </c>
      <c r="D7" s="59">
        <f>TblSummary[[#This Row],[Kalorien gegessen]]-TblSummary[[#This Row],[Kalorien Aktivitätsbedarf]]</f>
        <v>0</v>
      </c>
      <c r="E7" s="59">
        <f ca="1">IFERROR(VLOOKUP(TblSummary[[#This Row],[Datum]],TblBody[#All],MATCH(TblSummary[[#Headers],[Gewicht]],TblBody[#Headers],0),FALSE),0)</f>
        <v>0</v>
      </c>
      <c r="F7" s="59">
        <f ca="1">IFERROR(VLOOKUP(TblSummary[[#This Row],[Datum]],TblBody[#All],MATCH(TblSummary[[#Headers],[Fett]],TblBody[#Headers],0),FALSE),0)</f>
        <v>0</v>
      </c>
      <c r="G7" s="59">
        <f>SUMIF(TblActivities[Datum],TblSummary[[#This Row],[Datum]],TblActivities[Schritte])</f>
        <v>0</v>
      </c>
      <c r="H7" s="59">
        <f>SUMIF(TblActivities[Datum],TblSummary[[#This Row],[Datum]],TblActivities[Distanz])</f>
        <v>0</v>
      </c>
      <c r="J7" t="b">
        <f>VLOOKUP(TEXT(TblSummary[[#This Row],[Datum]],"tttt"),TblWorkdays[#All],2,FALSE)</f>
        <v>1</v>
      </c>
      <c r="K7" t="b">
        <f>VLOOKUP(TEXT(TblSummary[[#This Row],[Datum]],"tttt"),TblWorkdays[#All],3,FALSE)</f>
        <v>1</v>
      </c>
    </row>
    <row r="8" spans="1:12" x14ac:dyDescent="0.35">
      <c r="A8" s="26">
        <v>44744</v>
      </c>
      <c r="B8">
        <f>SUMIF(TblMealFoods[Datum],TblSummary[[#This Row],[Datum]],TblMealFoods[Kalorien])</f>
        <v>0</v>
      </c>
      <c r="C8" s="59">
        <f>SUMIF(TblActivities[Datum],TblSummary[[#This Row],[Datum]],TblActivities[Kalorien Aktivitätsbedarf])</f>
        <v>0</v>
      </c>
      <c r="D8" s="59">
        <f>TblSummary[[#This Row],[Kalorien gegessen]]-TblSummary[[#This Row],[Kalorien Aktivitätsbedarf]]</f>
        <v>0</v>
      </c>
      <c r="E8" s="59">
        <f ca="1">IFERROR(VLOOKUP(TblSummary[[#This Row],[Datum]],TblBody[#All],MATCH(TblSummary[[#Headers],[Gewicht]],TblBody[#Headers],0),FALSE),0)</f>
        <v>0</v>
      </c>
      <c r="F8" s="59">
        <f ca="1">IFERROR(VLOOKUP(TblSummary[[#This Row],[Datum]],TblBody[#All],MATCH(TblSummary[[#Headers],[Fett]],TblBody[#Headers],0),FALSE),0)</f>
        <v>0</v>
      </c>
      <c r="G8" s="59">
        <f>SUMIF(TblActivities[Datum],TblSummary[[#This Row],[Datum]],TblActivities[Schritte])</f>
        <v>0</v>
      </c>
      <c r="H8" s="59">
        <f>SUMIF(TblActivities[Datum],TblSummary[[#This Row],[Datum]],TblActivities[Distanz])</f>
        <v>0</v>
      </c>
      <c r="J8" t="b">
        <f>VLOOKUP(TEXT(TblSummary[[#This Row],[Datum]],"tttt"),TblWorkdays[#All],2,FALSE)</f>
        <v>0</v>
      </c>
      <c r="K8" t="b">
        <f>VLOOKUP(TEXT(TblSummary[[#This Row],[Datum]],"tttt"),TblWorkdays[#All],3,FALSE)</f>
        <v>0</v>
      </c>
    </row>
    <row r="9" spans="1:12" x14ac:dyDescent="0.35">
      <c r="A9" s="26">
        <v>44745</v>
      </c>
      <c r="B9">
        <f>SUMIF(TblMealFoods[Datum],TblSummary[[#This Row],[Datum]],TblMealFoods[Kalorien])</f>
        <v>0</v>
      </c>
      <c r="C9" s="59">
        <f>SUMIF(TblActivities[Datum],TblSummary[[#This Row],[Datum]],TblActivities[Kalorien Aktivitätsbedarf])</f>
        <v>0</v>
      </c>
      <c r="D9" s="59">
        <f>TblSummary[[#This Row],[Kalorien gegessen]]-TblSummary[[#This Row],[Kalorien Aktivitätsbedarf]]</f>
        <v>0</v>
      </c>
      <c r="E9" s="59">
        <f ca="1">IFERROR(VLOOKUP(TblSummary[[#This Row],[Datum]],TblBody[#All],MATCH(TblSummary[[#Headers],[Gewicht]],TblBody[#Headers],0),FALSE),0)</f>
        <v>0</v>
      </c>
      <c r="F9" s="59">
        <f ca="1">IFERROR(VLOOKUP(TblSummary[[#This Row],[Datum]],TblBody[#All],MATCH(TblSummary[[#Headers],[Fett]],TblBody[#Headers],0),FALSE),0)</f>
        <v>0</v>
      </c>
      <c r="G9" s="59">
        <f>SUMIF(TblActivities[Datum],TblSummary[[#This Row],[Datum]],TblActivities[Schritte])</f>
        <v>0</v>
      </c>
      <c r="H9" s="59">
        <f>SUMIF(TblActivities[Datum],TblSummary[[#This Row],[Datum]],TblActivities[Distanz])</f>
        <v>0</v>
      </c>
      <c r="J9" t="b">
        <f>VLOOKUP(TEXT(TblSummary[[#This Row],[Datum]],"tttt"),TblWorkdays[#All],2,FALSE)</f>
        <v>0</v>
      </c>
      <c r="K9" t="b">
        <f>VLOOKUP(TEXT(TblSummary[[#This Row],[Datum]],"tttt"),TblWorkdays[#All],3,FALSE)</f>
        <v>0</v>
      </c>
    </row>
    <row r="10" spans="1:12" x14ac:dyDescent="0.35">
      <c r="A10" s="26">
        <v>44746</v>
      </c>
      <c r="B10">
        <f>SUMIF(TblMealFoods[Datum],TblSummary[[#This Row],[Datum]],TblMealFoods[Kalorien])</f>
        <v>0</v>
      </c>
      <c r="C10" s="59">
        <f>SUMIF(TblActivities[Datum],TblSummary[[#This Row],[Datum]],TblActivities[Kalorien Aktivitätsbedarf])</f>
        <v>0</v>
      </c>
      <c r="D10" s="59">
        <f>TblSummary[[#This Row],[Kalorien gegessen]]-TblSummary[[#This Row],[Kalorien Aktivitätsbedarf]]</f>
        <v>0</v>
      </c>
      <c r="E10" s="59">
        <f ca="1">IFERROR(VLOOKUP(TblSummary[[#This Row],[Datum]],TblBody[#All],MATCH(TblSummary[[#Headers],[Gewicht]],TblBody[#Headers],0),FALSE),0)</f>
        <v>0</v>
      </c>
      <c r="F10" s="59">
        <f ca="1">IFERROR(VLOOKUP(TblSummary[[#This Row],[Datum]],TblBody[#All],MATCH(TblSummary[[#Headers],[Fett]],TblBody[#Headers],0),FALSE),0)</f>
        <v>0</v>
      </c>
      <c r="G10" s="59">
        <f>SUMIF(TblActivities[Datum],TblSummary[[#This Row],[Datum]],TblActivities[Schritte])</f>
        <v>0</v>
      </c>
      <c r="H10" s="59">
        <f>SUMIF(TblActivities[Datum],TblSummary[[#This Row],[Datum]],TblActivities[Distanz])</f>
        <v>0</v>
      </c>
      <c r="J10" t="b">
        <f>VLOOKUP(TEXT(TblSummary[[#This Row],[Datum]],"tttt"),TblWorkdays[#All],2,FALSE)</f>
        <v>1</v>
      </c>
      <c r="K10" t="b">
        <f>VLOOKUP(TEXT(TblSummary[[#This Row],[Datum]],"tttt"),TblWorkdays[#All],3,FALSE)</f>
        <v>1</v>
      </c>
    </row>
    <row r="11" spans="1:12" x14ac:dyDescent="0.35">
      <c r="A11" s="26">
        <v>44747</v>
      </c>
      <c r="B11">
        <f>SUMIF(TblMealFoods[Datum],TblSummary[[#This Row],[Datum]],TblMealFoods[Kalorien])</f>
        <v>0</v>
      </c>
      <c r="C11" s="59">
        <f>SUMIF(TblActivities[Datum],TblSummary[[#This Row],[Datum]],TblActivities[Kalorien Aktivitätsbedarf])</f>
        <v>0</v>
      </c>
      <c r="D11" s="59">
        <f>TblSummary[[#This Row],[Kalorien gegessen]]-TblSummary[[#This Row],[Kalorien Aktivitätsbedarf]]</f>
        <v>0</v>
      </c>
      <c r="E11" s="59">
        <f ca="1">IFERROR(VLOOKUP(TblSummary[[#This Row],[Datum]],TblBody[#All],MATCH(TblSummary[[#Headers],[Gewicht]],TblBody[#Headers],0),FALSE),0)</f>
        <v>110</v>
      </c>
      <c r="F11" s="59">
        <f ca="1">IFERROR(VLOOKUP(TblSummary[[#This Row],[Datum]],TblBody[#All],MATCH(TblSummary[[#Headers],[Fett]],TblBody[#Headers],0),FALSE),0)</f>
        <v>20</v>
      </c>
      <c r="G11" s="59">
        <f>SUMIF(TblActivities[Datum],TblSummary[[#This Row],[Datum]],TblActivities[Schritte])</f>
        <v>0</v>
      </c>
      <c r="H11" s="59">
        <f>SUMIF(TblActivities[Datum],TblSummary[[#This Row],[Datum]],TblActivities[Distanz])</f>
        <v>0</v>
      </c>
      <c r="J11" t="b">
        <f>VLOOKUP(TEXT(TblSummary[[#This Row],[Datum]],"tttt"),TblWorkdays[#All],2,FALSE)</f>
        <v>1</v>
      </c>
      <c r="K11" t="b">
        <f>VLOOKUP(TEXT(TblSummary[[#This Row],[Datum]],"tttt"),TblWorkdays[#All],3,FALSE)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747C-20C3-4CE1-8B31-511E52818C39}">
  <sheetPr codeName="Tabelle3">
    <tabColor theme="9" tint="0.59999389629810485"/>
  </sheetPr>
  <dimension ref="A1:H3"/>
  <sheetViews>
    <sheetView workbookViewId="0">
      <selection activeCell="H2" sqref="H2"/>
    </sheetView>
  </sheetViews>
  <sheetFormatPr baseColWidth="10" defaultRowHeight="14.5" x14ac:dyDescent="0.35"/>
  <cols>
    <col min="1" max="1" width="12.08984375" style="26" customWidth="1"/>
    <col min="2" max="2" width="11.36328125" style="26" customWidth="1"/>
    <col min="3" max="3" width="16.08984375" customWidth="1"/>
    <col min="4" max="4" width="13.90625" customWidth="1"/>
    <col min="5" max="5" width="19.08984375" customWidth="1"/>
    <col min="6" max="6" width="12.36328125" customWidth="1"/>
    <col min="7" max="7" width="11.08984375" customWidth="1"/>
  </cols>
  <sheetData>
    <row r="1" spans="1:8" x14ac:dyDescent="0.35">
      <c r="A1" s="26" t="s">
        <v>118</v>
      </c>
      <c r="B1" s="26" t="s">
        <v>119</v>
      </c>
      <c r="C1" t="s">
        <v>147</v>
      </c>
      <c r="D1" t="s">
        <v>148</v>
      </c>
      <c r="E1" t="s">
        <v>149</v>
      </c>
      <c r="F1" t="s">
        <v>150</v>
      </c>
      <c r="G1" t="s">
        <v>180</v>
      </c>
      <c r="H1" t="s">
        <v>186</v>
      </c>
    </row>
    <row r="2" spans="1:8" x14ac:dyDescent="0.35">
      <c r="A2" s="26">
        <v>44562</v>
      </c>
      <c r="B2" s="26">
        <v>44748</v>
      </c>
      <c r="C2">
        <v>3100</v>
      </c>
      <c r="D2">
        <v>10</v>
      </c>
      <c r="E2">
        <v>45</v>
      </c>
      <c r="F2">
        <v>15</v>
      </c>
      <c r="G2">
        <v>35</v>
      </c>
      <c r="H2" t="b">
        <f ca="1">IF(AND(TODAY()&gt;=TblNutrientDivision[[#This Row],[Datum von]],TODAY()&lt;=TblNutrientDivision[[#This Row],[Datum bis]]),TRUE,FALSE)</f>
        <v>1</v>
      </c>
    </row>
    <row r="3" spans="1:8" x14ac:dyDescent="0.35">
      <c r="A3" s="26">
        <v>44749</v>
      </c>
      <c r="B3" s="26">
        <v>44926</v>
      </c>
      <c r="C3">
        <v>3100</v>
      </c>
      <c r="D3">
        <v>35</v>
      </c>
      <c r="E3">
        <v>45</v>
      </c>
      <c r="F3">
        <v>15</v>
      </c>
      <c r="G3">
        <v>20</v>
      </c>
      <c r="H3" t="b">
        <f ca="1">IF(AND(TODAY()&gt;=TblNutrientDivision[[#This Row],[Datum von]],TODAY()&lt;=TblNutrientDivision[[#This Row],[Datum bis]]),TRUE,FALSE)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C8AC7-84B2-4C99-805C-2FCF8098DED5}">
  <sheetPr codeName="Tabelle9">
    <tabColor theme="9" tint="0.59999389629810485"/>
  </sheetPr>
  <dimension ref="A1:E9"/>
  <sheetViews>
    <sheetView workbookViewId="0">
      <selection activeCell="A2" sqref="A2:XFD11"/>
    </sheetView>
  </sheetViews>
  <sheetFormatPr baseColWidth="10" defaultRowHeight="14.5" x14ac:dyDescent="0.35"/>
  <cols>
    <col min="1" max="1" width="17.7265625" style="26" customWidth="1"/>
    <col min="2" max="2" width="13.81640625" customWidth="1"/>
    <col min="3" max="3" width="15.7265625" bestFit="1" customWidth="1"/>
    <col min="4" max="4" width="20.1796875" customWidth="1"/>
  </cols>
  <sheetData>
    <row r="1" spans="1:5" x14ac:dyDescent="0.35">
      <c r="A1" s="57" t="s">
        <v>84</v>
      </c>
      <c r="B1" s="19" t="s">
        <v>85</v>
      </c>
      <c r="C1" s="19" t="s">
        <v>86</v>
      </c>
      <c r="D1" s="19" t="s">
        <v>120</v>
      </c>
      <c r="E1" s="35" t="s">
        <v>122</v>
      </c>
    </row>
    <row r="2" spans="1:5" x14ac:dyDescent="0.35">
      <c r="A2" s="61"/>
      <c r="B2" s="23"/>
      <c r="C2" s="23"/>
      <c r="D2" s="23"/>
      <c r="E2" s="37"/>
    </row>
    <row r="3" spans="1:5" x14ac:dyDescent="0.35">
      <c r="A3" s="61">
        <v>44748</v>
      </c>
      <c r="B3" s="23">
        <v>1</v>
      </c>
      <c r="C3" s="23"/>
      <c r="D3" s="23"/>
      <c r="E3" s="37" t="b">
        <v>0</v>
      </c>
    </row>
    <row r="4" spans="1:5" x14ac:dyDescent="0.35">
      <c r="A4" s="61">
        <v>44749</v>
      </c>
      <c r="B4" s="23">
        <v>1</v>
      </c>
      <c r="C4" s="23"/>
      <c r="D4" s="23"/>
      <c r="E4" s="37" t="b">
        <v>0</v>
      </c>
    </row>
    <row r="5" spans="1:5" x14ac:dyDescent="0.35">
      <c r="A5" s="61">
        <v>44750</v>
      </c>
      <c r="B5" s="23">
        <v>1</v>
      </c>
      <c r="C5" s="23"/>
      <c r="D5" s="23"/>
      <c r="E5" s="37" t="b">
        <v>0</v>
      </c>
    </row>
    <row r="6" spans="1:5" x14ac:dyDescent="0.35">
      <c r="A6" s="61">
        <v>44751</v>
      </c>
      <c r="B6" s="23">
        <v>1</v>
      </c>
      <c r="C6" s="23"/>
      <c r="D6" s="23"/>
      <c r="E6" s="37" t="b">
        <v>0</v>
      </c>
    </row>
    <row r="7" spans="1:5" x14ac:dyDescent="0.35">
      <c r="A7" s="61">
        <v>44752</v>
      </c>
      <c r="B7" s="23">
        <v>1</v>
      </c>
      <c r="C7" s="23"/>
      <c r="D7" s="23"/>
      <c r="E7" s="37" t="b">
        <v>0</v>
      </c>
    </row>
    <row r="8" spans="1:5" x14ac:dyDescent="0.35">
      <c r="A8" s="61">
        <v>44753</v>
      </c>
      <c r="B8" s="23">
        <v>1</v>
      </c>
      <c r="C8" s="23"/>
      <c r="D8" s="23"/>
      <c r="E8" s="37" t="b">
        <v>0</v>
      </c>
    </row>
    <row r="9" spans="1:5" x14ac:dyDescent="0.35">
      <c r="A9" s="61">
        <v>44754</v>
      </c>
      <c r="B9" s="23">
        <v>1</v>
      </c>
      <c r="C9" s="23"/>
      <c r="D9" s="23"/>
      <c r="E9" s="37" t="b">
        <v>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0BBC-532F-4AFE-8C69-1458167E5BF1}">
  <sheetPr codeName="Tabelle10">
    <tabColor theme="9" tint="0.59999389629810485"/>
  </sheetPr>
  <dimension ref="A1:N9"/>
  <sheetViews>
    <sheetView workbookViewId="0">
      <selection activeCell="A2" sqref="A2:XFD15"/>
    </sheetView>
  </sheetViews>
  <sheetFormatPr baseColWidth="10" defaultRowHeight="14.5" x14ac:dyDescent="0.35"/>
  <cols>
    <col min="1" max="1" width="22.26953125" style="26" bestFit="1" customWidth="1"/>
    <col min="2" max="2" width="12" bestFit="1" customWidth="1"/>
    <col min="3" max="3" width="17.7265625" bestFit="1" customWidth="1"/>
    <col min="4" max="4" width="9.453125" customWidth="1"/>
    <col min="5" max="5" width="32.54296875" bestFit="1" customWidth="1"/>
    <col min="6" max="6" width="19.1796875" bestFit="1" customWidth="1"/>
    <col min="7" max="7" width="26.81640625" bestFit="1" customWidth="1"/>
    <col min="8" max="8" width="8.54296875" customWidth="1"/>
    <col min="9" max="9" width="9.7265625" customWidth="1"/>
    <col min="10" max="10" width="10" customWidth="1"/>
    <col min="11" max="11" width="15.1796875" customWidth="1"/>
    <col min="12" max="12" width="8.453125" customWidth="1"/>
    <col min="13" max="13" width="6.1796875" customWidth="1"/>
    <col min="14" max="14" width="13.26953125" customWidth="1"/>
  </cols>
  <sheetData>
    <row r="1" spans="1:14" x14ac:dyDescent="0.35">
      <c r="A1" s="30" t="s">
        <v>84</v>
      </c>
      <c r="B1" s="22" t="s">
        <v>85</v>
      </c>
      <c r="C1" s="22" t="s">
        <v>97</v>
      </c>
      <c r="D1" s="22" t="s">
        <v>83</v>
      </c>
      <c r="E1" s="22" t="s">
        <v>87</v>
      </c>
      <c r="F1" s="22" t="s">
        <v>88</v>
      </c>
      <c r="G1" s="22" t="s">
        <v>89</v>
      </c>
      <c r="H1" s="22" t="s">
        <v>90</v>
      </c>
      <c r="I1" s="22" t="s">
        <v>91</v>
      </c>
      <c r="J1" s="22" t="s">
        <v>92</v>
      </c>
      <c r="K1" s="22" t="s">
        <v>93</v>
      </c>
      <c r="L1" s="22" t="s">
        <v>94</v>
      </c>
      <c r="M1" s="22" t="s">
        <v>95</v>
      </c>
      <c r="N1" s="22" t="s">
        <v>96</v>
      </c>
    </row>
    <row r="2" spans="1:14" x14ac:dyDescent="0.35">
      <c r="A2" s="62"/>
      <c r="B2" s="23"/>
      <c r="C2" s="23"/>
      <c r="D2" s="23"/>
      <c r="E2" s="23"/>
      <c r="F2" s="23"/>
      <c r="G2" s="23"/>
      <c r="H2" s="23"/>
      <c r="I2" s="29">
        <f>ROUND(IFERROR(INDEX(TblFoodUnits[#All],MATCH(Rohdaten_MahlzeitLebensmittel!$C2&amp;Rohdaten_MahlzeitLebensmittel!$G2,TblFoodUnits[[#All],[Id]],0),MATCH(Rohdaten_MahlzeitLebensmittel!$I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0</v>
      </c>
      <c r="J2" s="29">
        <f>ROUND(IFERROR(INDEX(TblFoodUnits[#All],MATCH(Rohdaten_MahlzeitLebensmittel!$C2&amp;Rohdaten_MahlzeitLebensmittel!$G2,TblFoodUnits[[#All],[Id]],0),MATCH(Rohdaten_MahlzeitLebensmittel!$J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0</v>
      </c>
      <c r="K2" s="29">
        <f>ROUND(IFERROR(INDEX(TblFoodUnits[#All],MATCH(Rohdaten_MahlzeitLebensmittel!$C2&amp;Rohdaten_MahlzeitLebensmittel!$G2,TblFoodUnits[[#All],[Id]],0),MATCH(Rohdaten_MahlzeitLebensmittel!$K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0</v>
      </c>
      <c r="L2" s="29">
        <f>ROUND(IFERROR(INDEX(TblFoodUnits[#All],MATCH(Rohdaten_MahlzeitLebensmittel!$C2&amp;Rohdaten_MahlzeitLebensmittel!$G2,TblFoodUnits[[#All],[Id]],0),MATCH(Rohdaten_MahlzeitLebensmittel!$L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0</v>
      </c>
      <c r="M2" s="29">
        <f>ROUND(IFERROR(INDEX(TblFoodUnits[#All],MATCH(Rohdaten_MahlzeitLebensmittel!$C2&amp;Rohdaten_MahlzeitLebensmittel!$G2,TblFoodUnits[[#All],[Id]],0),MATCH(Rohdaten_MahlzeitLebensmittel!$M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0</v>
      </c>
      <c r="N2" s="29">
        <f>ROUND(IFERROR(INDEX(TblFoodUnits[#All],MATCH(Rohdaten_MahlzeitLebensmittel!$C2&amp;Rohdaten_MahlzeitLebensmittel!$G2,TblFoodUnits[[#All],[Id]],0),MATCH(Rohdaten_MahlzeitLebensmittel!$N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0</v>
      </c>
    </row>
    <row r="3" spans="1:14" x14ac:dyDescent="0.35">
      <c r="A3" s="62">
        <v>44748</v>
      </c>
      <c r="B3" s="23">
        <v>1</v>
      </c>
      <c r="C3" s="23">
        <v>36</v>
      </c>
      <c r="D3" s="23" t="b">
        <v>1</v>
      </c>
      <c r="E3" s="23" t="s">
        <v>17</v>
      </c>
      <c r="F3" s="23" t="s">
        <v>6</v>
      </c>
      <c r="G3" s="23" t="s">
        <v>7</v>
      </c>
      <c r="H3" s="23">
        <v>100</v>
      </c>
      <c r="I3" s="29">
        <f>ROUND(IFERROR(INDEX(TblFoodUnits[#All],MATCH(Rohdaten_MahlzeitLebensmittel!$C3&amp;Rohdaten_MahlzeitLebensmittel!$G3,TblFoodUnits[[#All],[Id]],0),MATCH(Rohdaten_MahlzeitLebensmittel!$I$1,TblFoodUnits[#Headers],0))/INDEX(TblFoodUnits[#All],MATCH(Rohdaten_MahlzeitLebensmittel!$C3&amp;Rohdaten_MahlzeitLebensmittel!$G3,TblFoodUnits[[#All],[Id]],0),MATCH(Rohdaten_MahlzeitLebensmittel!$H$1,TblFoodUnits[#Headers],0))*Rohdaten_MahlzeitLebensmittel!$H3,0),1)</f>
        <v>372</v>
      </c>
      <c r="J3" s="29">
        <f>ROUND(IFERROR(INDEX(TblFoodUnits[#All],MATCH(Rohdaten_MahlzeitLebensmittel!$C3&amp;Rohdaten_MahlzeitLebensmittel!$G3,TblFoodUnits[[#All],[Id]],0),MATCH(Rohdaten_MahlzeitLebensmittel!$J$1,TblFoodUnits[#Headers],0))/INDEX(TblFoodUnits[#All],MATCH(Rohdaten_MahlzeitLebensmittel!$C3&amp;Rohdaten_MahlzeitLebensmittel!$G3,TblFoodUnits[[#All],[Id]],0),MATCH(Rohdaten_MahlzeitLebensmittel!$H$1,TblFoodUnits[#Headers],0))*Rohdaten_MahlzeitLebensmittel!$H3,0),1)</f>
        <v>13.5</v>
      </c>
      <c r="K3" s="29">
        <f>ROUND(IFERROR(INDEX(TblFoodUnits[#All],MATCH(Rohdaten_MahlzeitLebensmittel!$C3&amp;Rohdaten_MahlzeitLebensmittel!$G3,TblFoodUnits[[#All],[Id]],0),MATCH(Rohdaten_MahlzeitLebensmittel!$K$1,TblFoodUnits[#Headers],0))/INDEX(TblFoodUnits[#All],MATCH(Rohdaten_MahlzeitLebensmittel!$C3&amp;Rohdaten_MahlzeitLebensmittel!$G3,TblFoodUnits[[#All],[Id]],0),MATCH(Rohdaten_MahlzeitLebensmittel!$H$1,TblFoodUnits[#Headers],0))*Rohdaten_MahlzeitLebensmittel!$H3,0),1)</f>
        <v>58.7</v>
      </c>
      <c r="L3" s="29">
        <f>ROUND(IFERROR(INDEX(TblFoodUnits[#All],MATCH(Rohdaten_MahlzeitLebensmittel!$C3&amp;Rohdaten_MahlzeitLebensmittel!$G3,TblFoodUnits[[#All],[Id]],0),MATCH(Rohdaten_MahlzeitLebensmittel!$L$1,TblFoodUnits[#Headers],0))/INDEX(TblFoodUnits[#All],MATCH(Rohdaten_MahlzeitLebensmittel!$C3&amp;Rohdaten_MahlzeitLebensmittel!$G3,TblFoodUnits[[#All],[Id]],0),MATCH(Rohdaten_MahlzeitLebensmittel!$H$1,TblFoodUnits[#Headers],0))*Rohdaten_MahlzeitLebensmittel!$H3,0),1)</f>
        <v>0</v>
      </c>
      <c r="M3" s="29">
        <f>ROUND(IFERROR(INDEX(TblFoodUnits[#All],MATCH(Rohdaten_MahlzeitLebensmittel!$C3&amp;Rohdaten_MahlzeitLebensmittel!$G3,TblFoodUnits[[#All],[Id]],0),MATCH(Rohdaten_MahlzeitLebensmittel!$M$1,TblFoodUnits[#Headers],0))/INDEX(TblFoodUnits[#All],MATCH(Rohdaten_MahlzeitLebensmittel!$C3&amp;Rohdaten_MahlzeitLebensmittel!$G3,TblFoodUnits[[#All],[Id]],0),MATCH(Rohdaten_MahlzeitLebensmittel!$H$1,TblFoodUnits[#Headers],0))*Rohdaten_MahlzeitLebensmittel!$H3,0),1)</f>
        <v>7</v>
      </c>
      <c r="N3" s="29">
        <f>ROUND(IFERROR(INDEX(TblFoodUnits[#All],MATCH(Rohdaten_MahlzeitLebensmittel!$C3&amp;Rohdaten_MahlzeitLebensmittel!$G3,TblFoodUnits[[#All],[Id]],0),MATCH(Rohdaten_MahlzeitLebensmittel!$N$1,TblFoodUnits[#Headers],0))/INDEX(TblFoodUnits[#All],MATCH(Rohdaten_MahlzeitLebensmittel!$C3&amp;Rohdaten_MahlzeitLebensmittel!$G3,TblFoodUnits[[#All],[Id]],0),MATCH(Rohdaten_MahlzeitLebensmittel!$H$1,TblFoodUnits[#Headers],0))*Rohdaten_MahlzeitLebensmittel!$H3,0),1)</f>
        <v>0</v>
      </c>
    </row>
    <row r="4" spans="1:14" x14ac:dyDescent="0.35">
      <c r="A4" s="62">
        <v>44749</v>
      </c>
      <c r="B4" s="23">
        <v>1</v>
      </c>
      <c r="C4" s="23">
        <v>36</v>
      </c>
      <c r="D4" s="23" t="b">
        <v>1</v>
      </c>
      <c r="E4" s="23" t="s">
        <v>17</v>
      </c>
      <c r="F4" s="23" t="s">
        <v>6</v>
      </c>
      <c r="G4" s="23" t="s">
        <v>7</v>
      </c>
      <c r="H4" s="23">
        <v>100</v>
      </c>
      <c r="I4" s="29">
        <f>ROUND(IFERROR(INDEX(TblFoodUnits[#All],MATCH(Rohdaten_MahlzeitLebensmittel!$C4&amp;Rohdaten_MahlzeitLebensmittel!$G4,TblFoodUnits[[#All],[Id]],0),MATCH(Rohdaten_MahlzeitLebensmittel!$I$1,TblFoodUnits[#Headers],0))/INDEX(TblFoodUnits[#All],MATCH(Rohdaten_MahlzeitLebensmittel!$C4&amp;Rohdaten_MahlzeitLebensmittel!$G4,TblFoodUnits[[#All],[Id]],0),MATCH(Rohdaten_MahlzeitLebensmittel!$H$1,TblFoodUnits[#Headers],0))*Rohdaten_MahlzeitLebensmittel!$H4,0),1)</f>
        <v>372</v>
      </c>
      <c r="J4" s="29">
        <f>ROUND(IFERROR(INDEX(TblFoodUnits[#All],MATCH(Rohdaten_MahlzeitLebensmittel!$C4&amp;Rohdaten_MahlzeitLebensmittel!$G4,TblFoodUnits[[#All],[Id]],0),MATCH(Rohdaten_MahlzeitLebensmittel!$J$1,TblFoodUnits[#Headers],0))/INDEX(TblFoodUnits[#All],MATCH(Rohdaten_MahlzeitLebensmittel!$C4&amp;Rohdaten_MahlzeitLebensmittel!$G4,TblFoodUnits[[#All],[Id]],0),MATCH(Rohdaten_MahlzeitLebensmittel!$H$1,TblFoodUnits[#Headers],0))*Rohdaten_MahlzeitLebensmittel!$H4,0),1)</f>
        <v>13.5</v>
      </c>
      <c r="K4" s="29">
        <f>ROUND(IFERROR(INDEX(TblFoodUnits[#All],MATCH(Rohdaten_MahlzeitLebensmittel!$C4&amp;Rohdaten_MahlzeitLebensmittel!$G4,TblFoodUnits[[#All],[Id]],0),MATCH(Rohdaten_MahlzeitLebensmittel!$K$1,TblFoodUnits[#Headers],0))/INDEX(TblFoodUnits[#All],MATCH(Rohdaten_MahlzeitLebensmittel!$C4&amp;Rohdaten_MahlzeitLebensmittel!$G4,TblFoodUnits[[#All],[Id]],0),MATCH(Rohdaten_MahlzeitLebensmittel!$H$1,TblFoodUnits[#Headers],0))*Rohdaten_MahlzeitLebensmittel!$H4,0),1)</f>
        <v>58.7</v>
      </c>
      <c r="L4" s="29">
        <f>ROUND(IFERROR(INDEX(TblFoodUnits[#All],MATCH(Rohdaten_MahlzeitLebensmittel!$C4&amp;Rohdaten_MahlzeitLebensmittel!$G4,TblFoodUnits[[#All],[Id]],0),MATCH(Rohdaten_MahlzeitLebensmittel!$L$1,TblFoodUnits[#Headers],0))/INDEX(TblFoodUnits[#All],MATCH(Rohdaten_MahlzeitLebensmittel!$C4&amp;Rohdaten_MahlzeitLebensmittel!$G4,TblFoodUnits[[#All],[Id]],0),MATCH(Rohdaten_MahlzeitLebensmittel!$H$1,TblFoodUnits[#Headers],0))*Rohdaten_MahlzeitLebensmittel!$H4,0),1)</f>
        <v>0</v>
      </c>
      <c r="M4" s="29">
        <f>ROUND(IFERROR(INDEX(TblFoodUnits[#All],MATCH(Rohdaten_MahlzeitLebensmittel!$C4&amp;Rohdaten_MahlzeitLebensmittel!$G4,TblFoodUnits[[#All],[Id]],0),MATCH(Rohdaten_MahlzeitLebensmittel!$M$1,TblFoodUnits[#Headers],0))/INDEX(TblFoodUnits[#All],MATCH(Rohdaten_MahlzeitLebensmittel!$C4&amp;Rohdaten_MahlzeitLebensmittel!$G4,TblFoodUnits[[#All],[Id]],0),MATCH(Rohdaten_MahlzeitLebensmittel!$H$1,TblFoodUnits[#Headers],0))*Rohdaten_MahlzeitLebensmittel!$H4,0),1)</f>
        <v>7</v>
      </c>
      <c r="N4" s="29">
        <f>ROUND(IFERROR(INDEX(TblFoodUnits[#All],MATCH(Rohdaten_MahlzeitLebensmittel!$C4&amp;Rohdaten_MahlzeitLebensmittel!$G4,TblFoodUnits[[#All],[Id]],0),MATCH(Rohdaten_MahlzeitLebensmittel!$N$1,TblFoodUnits[#Headers],0))/INDEX(TblFoodUnits[#All],MATCH(Rohdaten_MahlzeitLebensmittel!$C4&amp;Rohdaten_MahlzeitLebensmittel!$G4,TblFoodUnits[[#All],[Id]],0),MATCH(Rohdaten_MahlzeitLebensmittel!$H$1,TblFoodUnits[#Headers],0))*Rohdaten_MahlzeitLebensmittel!$H4,0),1)</f>
        <v>0</v>
      </c>
    </row>
    <row r="5" spans="1:14" x14ac:dyDescent="0.35">
      <c r="A5" s="62">
        <v>44750</v>
      </c>
      <c r="B5" s="23">
        <v>1</v>
      </c>
      <c r="C5" s="23">
        <v>36</v>
      </c>
      <c r="D5" s="23" t="b">
        <v>1</v>
      </c>
      <c r="E5" s="23" t="s">
        <v>17</v>
      </c>
      <c r="F5" s="23" t="s">
        <v>6</v>
      </c>
      <c r="G5" s="23" t="s">
        <v>7</v>
      </c>
      <c r="H5" s="23">
        <v>100</v>
      </c>
      <c r="I5" s="29">
        <f>ROUND(IFERROR(INDEX(TblFoodUnits[#All],MATCH(Rohdaten_MahlzeitLebensmittel!$C5&amp;Rohdaten_MahlzeitLebensmittel!$G5,TblFoodUnits[[#All],[Id]],0),MATCH(Rohdaten_MahlzeitLebensmittel!$I$1,TblFoodUnits[#Headers],0))/INDEX(TblFoodUnits[#All],MATCH(Rohdaten_MahlzeitLebensmittel!$C5&amp;Rohdaten_MahlzeitLebensmittel!$G5,TblFoodUnits[[#All],[Id]],0),MATCH(Rohdaten_MahlzeitLebensmittel!$H$1,TblFoodUnits[#Headers],0))*Rohdaten_MahlzeitLebensmittel!$H5,0),1)</f>
        <v>372</v>
      </c>
      <c r="J5" s="29">
        <f>ROUND(IFERROR(INDEX(TblFoodUnits[#All],MATCH(Rohdaten_MahlzeitLebensmittel!$C5&amp;Rohdaten_MahlzeitLebensmittel!$G5,TblFoodUnits[[#All],[Id]],0),MATCH(Rohdaten_MahlzeitLebensmittel!$J$1,TblFoodUnits[#Headers],0))/INDEX(TblFoodUnits[#All],MATCH(Rohdaten_MahlzeitLebensmittel!$C5&amp;Rohdaten_MahlzeitLebensmittel!$G5,TblFoodUnits[[#All],[Id]],0),MATCH(Rohdaten_MahlzeitLebensmittel!$H$1,TblFoodUnits[#Headers],0))*Rohdaten_MahlzeitLebensmittel!$H5,0),1)</f>
        <v>13.5</v>
      </c>
      <c r="K5" s="29">
        <f>ROUND(IFERROR(INDEX(TblFoodUnits[#All],MATCH(Rohdaten_MahlzeitLebensmittel!$C5&amp;Rohdaten_MahlzeitLebensmittel!$G5,TblFoodUnits[[#All],[Id]],0),MATCH(Rohdaten_MahlzeitLebensmittel!$K$1,TblFoodUnits[#Headers],0))/INDEX(TblFoodUnits[#All],MATCH(Rohdaten_MahlzeitLebensmittel!$C5&amp;Rohdaten_MahlzeitLebensmittel!$G5,TblFoodUnits[[#All],[Id]],0),MATCH(Rohdaten_MahlzeitLebensmittel!$H$1,TblFoodUnits[#Headers],0))*Rohdaten_MahlzeitLebensmittel!$H5,0),1)</f>
        <v>58.7</v>
      </c>
      <c r="L5" s="29">
        <f>ROUND(IFERROR(INDEX(TblFoodUnits[#All],MATCH(Rohdaten_MahlzeitLebensmittel!$C5&amp;Rohdaten_MahlzeitLebensmittel!$G5,TblFoodUnits[[#All],[Id]],0),MATCH(Rohdaten_MahlzeitLebensmittel!$L$1,TblFoodUnits[#Headers],0))/INDEX(TblFoodUnits[#All],MATCH(Rohdaten_MahlzeitLebensmittel!$C5&amp;Rohdaten_MahlzeitLebensmittel!$G5,TblFoodUnits[[#All],[Id]],0),MATCH(Rohdaten_MahlzeitLebensmittel!$H$1,TblFoodUnits[#Headers],0))*Rohdaten_MahlzeitLebensmittel!$H5,0),1)</f>
        <v>0</v>
      </c>
      <c r="M5" s="29">
        <f>ROUND(IFERROR(INDEX(TblFoodUnits[#All],MATCH(Rohdaten_MahlzeitLebensmittel!$C5&amp;Rohdaten_MahlzeitLebensmittel!$G5,TblFoodUnits[[#All],[Id]],0),MATCH(Rohdaten_MahlzeitLebensmittel!$M$1,TblFoodUnits[#Headers],0))/INDEX(TblFoodUnits[#All],MATCH(Rohdaten_MahlzeitLebensmittel!$C5&amp;Rohdaten_MahlzeitLebensmittel!$G5,TblFoodUnits[[#All],[Id]],0),MATCH(Rohdaten_MahlzeitLebensmittel!$H$1,TblFoodUnits[#Headers],0))*Rohdaten_MahlzeitLebensmittel!$H5,0),1)</f>
        <v>7</v>
      </c>
      <c r="N5" s="29">
        <f>ROUND(IFERROR(INDEX(TblFoodUnits[#All],MATCH(Rohdaten_MahlzeitLebensmittel!$C5&amp;Rohdaten_MahlzeitLebensmittel!$G5,TblFoodUnits[[#All],[Id]],0),MATCH(Rohdaten_MahlzeitLebensmittel!$N$1,TblFoodUnits[#Headers],0))/INDEX(TblFoodUnits[#All],MATCH(Rohdaten_MahlzeitLebensmittel!$C5&amp;Rohdaten_MahlzeitLebensmittel!$G5,TblFoodUnits[[#All],[Id]],0),MATCH(Rohdaten_MahlzeitLebensmittel!$H$1,TblFoodUnits[#Headers],0))*Rohdaten_MahlzeitLebensmittel!$H5,0),1)</f>
        <v>0</v>
      </c>
    </row>
    <row r="6" spans="1:14" x14ac:dyDescent="0.35">
      <c r="A6" s="62">
        <v>44751</v>
      </c>
      <c r="B6" s="23">
        <v>1</v>
      </c>
      <c r="C6" s="23">
        <v>36</v>
      </c>
      <c r="D6" s="23" t="b">
        <v>1</v>
      </c>
      <c r="E6" s="23" t="s">
        <v>17</v>
      </c>
      <c r="F6" s="23" t="s">
        <v>6</v>
      </c>
      <c r="G6" s="23" t="s">
        <v>7</v>
      </c>
      <c r="H6" s="23">
        <v>100</v>
      </c>
      <c r="I6" s="29">
        <f>ROUND(IFERROR(INDEX(TblFoodUnits[#All],MATCH(Rohdaten_MahlzeitLebensmittel!$C6&amp;Rohdaten_MahlzeitLebensmittel!$G6,TblFoodUnits[[#All],[Id]],0),MATCH(Rohdaten_MahlzeitLebensmittel!$I$1,TblFoodUnits[#Headers],0))/INDEX(TblFoodUnits[#All],MATCH(Rohdaten_MahlzeitLebensmittel!$C6&amp;Rohdaten_MahlzeitLebensmittel!$G6,TblFoodUnits[[#All],[Id]],0),MATCH(Rohdaten_MahlzeitLebensmittel!$H$1,TblFoodUnits[#Headers],0))*Rohdaten_MahlzeitLebensmittel!$H6,0),1)</f>
        <v>372</v>
      </c>
      <c r="J6" s="29">
        <f>ROUND(IFERROR(INDEX(TblFoodUnits[#All],MATCH(Rohdaten_MahlzeitLebensmittel!$C6&amp;Rohdaten_MahlzeitLebensmittel!$G6,TblFoodUnits[[#All],[Id]],0),MATCH(Rohdaten_MahlzeitLebensmittel!$J$1,TblFoodUnits[#Headers],0))/INDEX(TblFoodUnits[#All],MATCH(Rohdaten_MahlzeitLebensmittel!$C6&amp;Rohdaten_MahlzeitLebensmittel!$G6,TblFoodUnits[[#All],[Id]],0),MATCH(Rohdaten_MahlzeitLebensmittel!$H$1,TblFoodUnits[#Headers],0))*Rohdaten_MahlzeitLebensmittel!$H6,0),1)</f>
        <v>13.5</v>
      </c>
      <c r="K6" s="29">
        <f>ROUND(IFERROR(INDEX(TblFoodUnits[#All],MATCH(Rohdaten_MahlzeitLebensmittel!$C6&amp;Rohdaten_MahlzeitLebensmittel!$G6,TblFoodUnits[[#All],[Id]],0),MATCH(Rohdaten_MahlzeitLebensmittel!$K$1,TblFoodUnits[#Headers],0))/INDEX(TblFoodUnits[#All],MATCH(Rohdaten_MahlzeitLebensmittel!$C6&amp;Rohdaten_MahlzeitLebensmittel!$G6,TblFoodUnits[[#All],[Id]],0),MATCH(Rohdaten_MahlzeitLebensmittel!$H$1,TblFoodUnits[#Headers],0))*Rohdaten_MahlzeitLebensmittel!$H6,0),1)</f>
        <v>58.7</v>
      </c>
      <c r="L6" s="29">
        <f>ROUND(IFERROR(INDEX(TblFoodUnits[#All],MATCH(Rohdaten_MahlzeitLebensmittel!$C6&amp;Rohdaten_MahlzeitLebensmittel!$G6,TblFoodUnits[[#All],[Id]],0),MATCH(Rohdaten_MahlzeitLebensmittel!$L$1,TblFoodUnits[#Headers],0))/INDEX(TblFoodUnits[#All],MATCH(Rohdaten_MahlzeitLebensmittel!$C6&amp;Rohdaten_MahlzeitLebensmittel!$G6,TblFoodUnits[[#All],[Id]],0),MATCH(Rohdaten_MahlzeitLebensmittel!$H$1,TblFoodUnits[#Headers],0))*Rohdaten_MahlzeitLebensmittel!$H6,0),1)</f>
        <v>0</v>
      </c>
      <c r="M6" s="29">
        <f>ROUND(IFERROR(INDEX(TblFoodUnits[#All],MATCH(Rohdaten_MahlzeitLebensmittel!$C6&amp;Rohdaten_MahlzeitLebensmittel!$G6,TblFoodUnits[[#All],[Id]],0),MATCH(Rohdaten_MahlzeitLebensmittel!$M$1,TblFoodUnits[#Headers],0))/INDEX(TblFoodUnits[#All],MATCH(Rohdaten_MahlzeitLebensmittel!$C6&amp;Rohdaten_MahlzeitLebensmittel!$G6,TblFoodUnits[[#All],[Id]],0),MATCH(Rohdaten_MahlzeitLebensmittel!$H$1,TblFoodUnits[#Headers],0))*Rohdaten_MahlzeitLebensmittel!$H6,0),1)</f>
        <v>7</v>
      </c>
      <c r="N6" s="29">
        <f>ROUND(IFERROR(INDEX(TblFoodUnits[#All],MATCH(Rohdaten_MahlzeitLebensmittel!$C6&amp;Rohdaten_MahlzeitLebensmittel!$G6,TblFoodUnits[[#All],[Id]],0),MATCH(Rohdaten_MahlzeitLebensmittel!$N$1,TblFoodUnits[#Headers],0))/INDEX(TblFoodUnits[#All],MATCH(Rohdaten_MahlzeitLebensmittel!$C6&amp;Rohdaten_MahlzeitLebensmittel!$G6,TblFoodUnits[[#All],[Id]],0),MATCH(Rohdaten_MahlzeitLebensmittel!$H$1,TblFoodUnits[#Headers],0))*Rohdaten_MahlzeitLebensmittel!$H6,0),1)</f>
        <v>0</v>
      </c>
    </row>
    <row r="7" spans="1:14" x14ac:dyDescent="0.35">
      <c r="A7" s="62">
        <v>44752</v>
      </c>
      <c r="B7" s="23">
        <v>1</v>
      </c>
      <c r="C7" s="23">
        <v>36</v>
      </c>
      <c r="D7" s="23" t="b">
        <v>1</v>
      </c>
      <c r="E7" s="23" t="s">
        <v>17</v>
      </c>
      <c r="F7" s="23" t="s">
        <v>6</v>
      </c>
      <c r="G7" s="23" t="s">
        <v>7</v>
      </c>
      <c r="H7" s="23">
        <v>100</v>
      </c>
      <c r="I7" s="29">
        <f>ROUND(IFERROR(INDEX(TblFoodUnits[#All],MATCH(Rohdaten_MahlzeitLebensmittel!$C7&amp;Rohdaten_MahlzeitLebensmittel!$G7,TblFoodUnits[[#All],[Id]],0),MATCH(Rohdaten_MahlzeitLebensmittel!$I$1,TblFoodUnits[#Headers],0))/INDEX(TblFoodUnits[#All],MATCH(Rohdaten_MahlzeitLebensmittel!$C7&amp;Rohdaten_MahlzeitLebensmittel!$G7,TblFoodUnits[[#All],[Id]],0),MATCH(Rohdaten_MahlzeitLebensmittel!$H$1,TblFoodUnits[#Headers],0))*Rohdaten_MahlzeitLebensmittel!$H7,0),1)</f>
        <v>372</v>
      </c>
      <c r="J7" s="29">
        <f>ROUND(IFERROR(INDEX(TblFoodUnits[#All],MATCH(Rohdaten_MahlzeitLebensmittel!$C7&amp;Rohdaten_MahlzeitLebensmittel!$G7,TblFoodUnits[[#All],[Id]],0),MATCH(Rohdaten_MahlzeitLebensmittel!$J$1,TblFoodUnits[#Headers],0))/INDEX(TblFoodUnits[#All],MATCH(Rohdaten_MahlzeitLebensmittel!$C7&amp;Rohdaten_MahlzeitLebensmittel!$G7,TblFoodUnits[[#All],[Id]],0),MATCH(Rohdaten_MahlzeitLebensmittel!$H$1,TblFoodUnits[#Headers],0))*Rohdaten_MahlzeitLebensmittel!$H7,0),1)</f>
        <v>13.5</v>
      </c>
      <c r="K7" s="29">
        <f>ROUND(IFERROR(INDEX(TblFoodUnits[#All],MATCH(Rohdaten_MahlzeitLebensmittel!$C7&amp;Rohdaten_MahlzeitLebensmittel!$G7,TblFoodUnits[[#All],[Id]],0),MATCH(Rohdaten_MahlzeitLebensmittel!$K$1,TblFoodUnits[#Headers],0))/INDEX(TblFoodUnits[#All],MATCH(Rohdaten_MahlzeitLebensmittel!$C7&amp;Rohdaten_MahlzeitLebensmittel!$G7,TblFoodUnits[[#All],[Id]],0),MATCH(Rohdaten_MahlzeitLebensmittel!$H$1,TblFoodUnits[#Headers],0))*Rohdaten_MahlzeitLebensmittel!$H7,0),1)</f>
        <v>58.7</v>
      </c>
      <c r="L7" s="29">
        <f>ROUND(IFERROR(INDEX(TblFoodUnits[#All],MATCH(Rohdaten_MahlzeitLebensmittel!$C7&amp;Rohdaten_MahlzeitLebensmittel!$G7,TblFoodUnits[[#All],[Id]],0),MATCH(Rohdaten_MahlzeitLebensmittel!$L$1,TblFoodUnits[#Headers],0))/INDEX(TblFoodUnits[#All],MATCH(Rohdaten_MahlzeitLebensmittel!$C7&amp;Rohdaten_MahlzeitLebensmittel!$G7,TblFoodUnits[[#All],[Id]],0),MATCH(Rohdaten_MahlzeitLebensmittel!$H$1,TblFoodUnits[#Headers],0))*Rohdaten_MahlzeitLebensmittel!$H7,0),1)</f>
        <v>0</v>
      </c>
      <c r="M7" s="29">
        <f>ROUND(IFERROR(INDEX(TblFoodUnits[#All],MATCH(Rohdaten_MahlzeitLebensmittel!$C7&amp;Rohdaten_MahlzeitLebensmittel!$G7,TblFoodUnits[[#All],[Id]],0),MATCH(Rohdaten_MahlzeitLebensmittel!$M$1,TblFoodUnits[#Headers],0))/INDEX(TblFoodUnits[#All],MATCH(Rohdaten_MahlzeitLebensmittel!$C7&amp;Rohdaten_MahlzeitLebensmittel!$G7,TblFoodUnits[[#All],[Id]],0),MATCH(Rohdaten_MahlzeitLebensmittel!$H$1,TblFoodUnits[#Headers],0))*Rohdaten_MahlzeitLebensmittel!$H7,0),1)</f>
        <v>7</v>
      </c>
      <c r="N7" s="29">
        <f>ROUND(IFERROR(INDEX(TblFoodUnits[#All],MATCH(Rohdaten_MahlzeitLebensmittel!$C7&amp;Rohdaten_MahlzeitLebensmittel!$G7,TblFoodUnits[[#All],[Id]],0),MATCH(Rohdaten_MahlzeitLebensmittel!$N$1,TblFoodUnits[#Headers],0))/INDEX(TblFoodUnits[#All],MATCH(Rohdaten_MahlzeitLebensmittel!$C7&amp;Rohdaten_MahlzeitLebensmittel!$G7,TblFoodUnits[[#All],[Id]],0),MATCH(Rohdaten_MahlzeitLebensmittel!$H$1,TblFoodUnits[#Headers],0))*Rohdaten_MahlzeitLebensmittel!$H7,0),1)</f>
        <v>0</v>
      </c>
    </row>
    <row r="8" spans="1:14" x14ac:dyDescent="0.35">
      <c r="A8" s="62">
        <v>44753</v>
      </c>
      <c r="B8" s="23">
        <v>1</v>
      </c>
      <c r="C8" s="23">
        <v>36</v>
      </c>
      <c r="D8" s="23" t="b">
        <v>1</v>
      </c>
      <c r="E8" s="23" t="s">
        <v>17</v>
      </c>
      <c r="F8" s="23" t="s">
        <v>6</v>
      </c>
      <c r="G8" s="23" t="s">
        <v>7</v>
      </c>
      <c r="H8" s="23">
        <v>100</v>
      </c>
      <c r="I8" s="29">
        <f>ROUND(IFERROR(INDEX(TblFoodUnits[#All],MATCH(Rohdaten_MahlzeitLebensmittel!$C8&amp;Rohdaten_MahlzeitLebensmittel!$G8,TblFoodUnits[[#All],[Id]],0),MATCH(Rohdaten_MahlzeitLebensmittel!$I$1,TblFoodUnits[#Headers],0))/INDEX(TblFoodUnits[#All],MATCH(Rohdaten_MahlzeitLebensmittel!$C8&amp;Rohdaten_MahlzeitLebensmittel!$G8,TblFoodUnits[[#All],[Id]],0),MATCH(Rohdaten_MahlzeitLebensmittel!$H$1,TblFoodUnits[#Headers],0))*Rohdaten_MahlzeitLebensmittel!$H8,0),1)</f>
        <v>372</v>
      </c>
      <c r="J8" s="29">
        <f>ROUND(IFERROR(INDEX(TblFoodUnits[#All],MATCH(Rohdaten_MahlzeitLebensmittel!$C8&amp;Rohdaten_MahlzeitLebensmittel!$G8,TblFoodUnits[[#All],[Id]],0),MATCH(Rohdaten_MahlzeitLebensmittel!$J$1,TblFoodUnits[#Headers],0))/INDEX(TblFoodUnits[#All],MATCH(Rohdaten_MahlzeitLebensmittel!$C8&amp;Rohdaten_MahlzeitLebensmittel!$G8,TblFoodUnits[[#All],[Id]],0),MATCH(Rohdaten_MahlzeitLebensmittel!$H$1,TblFoodUnits[#Headers],0))*Rohdaten_MahlzeitLebensmittel!$H8,0),1)</f>
        <v>13.5</v>
      </c>
      <c r="K8" s="29">
        <f>ROUND(IFERROR(INDEX(TblFoodUnits[#All],MATCH(Rohdaten_MahlzeitLebensmittel!$C8&amp;Rohdaten_MahlzeitLebensmittel!$G8,TblFoodUnits[[#All],[Id]],0),MATCH(Rohdaten_MahlzeitLebensmittel!$K$1,TblFoodUnits[#Headers],0))/INDEX(TblFoodUnits[#All],MATCH(Rohdaten_MahlzeitLebensmittel!$C8&amp;Rohdaten_MahlzeitLebensmittel!$G8,TblFoodUnits[[#All],[Id]],0),MATCH(Rohdaten_MahlzeitLebensmittel!$H$1,TblFoodUnits[#Headers],0))*Rohdaten_MahlzeitLebensmittel!$H8,0),1)</f>
        <v>58.7</v>
      </c>
      <c r="L8" s="29">
        <f>ROUND(IFERROR(INDEX(TblFoodUnits[#All],MATCH(Rohdaten_MahlzeitLebensmittel!$C8&amp;Rohdaten_MahlzeitLebensmittel!$G8,TblFoodUnits[[#All],[Id]],0),MATCH(Rohdaten_MahlzeitLebensmittel!$L$1,TblFoodUnits[#Headers],0))/INDEX(TblFoodUnits[#All],MATCH(Rohdaten_MahlzeitLebensmittel!$C8&amp;Rohdaten_MahlzeitLebensmittel!$G8,TblFoodUnits[[#All],[Id]],0),MATCH(Rohdaten_MahlzeitLebensmittel!$H$1,TblFoodUnits[#Headers],0))*Rohdaten_MahlzeitLebensmittel!$H8,0),1)</f>
        <v>0</v>
      </c>
      <c r="M8" s="29">
        <f>ROUND(IFERROR(INDEX(TblFoodUnits[#All],MATCH(Rohdaten_MahlzeitLebensmittel!$C8&amp;Rohdaten_MahlzeitLebensmittel!$G8,TblFoodUnits[[#All],[Id]],0),MATCH(Rohdaten_MahlzeitLebensmittel!$M$1,TblFoodUnits[#Headers],0))/INDEX(TblFoodUnits[#All],MATCH(Rohdaten_MahlzeitLebensmittel!$C8&amp;Rohdaten_MahlzeitLebensmittel!$G8,TblFoodUnits[[#All],[Id]],0),MATCH(Rohdaten_MahlzeitLebensmittel!$H$1,TblFoodUnits[#Headers],0))*Rohdaten_MahlzeitLebensmittel!$H8,0),1)</f>
        <v>7</v>
      </c>
      <c r="N8" s="29">
        <f>ROUND(IFERROR(INDEX(TblFoodUnits[#All],MATCH(Rohdaten_MahlzeitLebensmittel!$C8&amp;Rohdaten_MahlzeitLebensmittel!$G8,TblFoodUnits[[#All],[Id]],0),MATCH(Rohdaten_MahlzeitLebensmittel!$N$1,TblFoodUnits[#Headers],0))/INDEX(TblFoodUnits[#All],MATCH(Rohdaten_MahlzeitLebensmittel!$C8&amp;Rohdaten_MahlzeitLebensmittel!$G8,TblFoodUnits[[#All],[Id]],0),MATCH(Rohdaten_MahlzeitLebensmittel!$H$1,TblFoodUnits[#Headers],0))*Rohdaten_MahlzeitLebensmittel!$H8,0),1)</f>
        <v>0</v>
      </c>
    </row>
    <row r="9" spans="1:14" x14ac:dyDescent="0.35">
      <c r="A9" s="62">
        <v>44754</v>
      </c>
      <c r="B9" s="23">
        <v>1</v>
      </c>
      <c r="C9" s="23">
        <v>36</v>
      </c>
      <c r="D9" s="23" t="b">
        <v>1</v>
      </c>
      <c r="E9" s="23" t="s">
        <v>17</v>
      </c>
      <c r="F9" s="23" t="s">
        <v>6</v>
      </c>
      <c r="G9" s="23" t="s">
        <v>7</v>
      </c>
      <c r="H9" s="23">
        <v>100</v>
      </c>
      <c r="I9" s="29">
        <f>ROUND(IFERROR(INDEX(TblFoodUnits[#All],MATCH(Rohdaten_MahlzeitLebensmittel!$C9&amp;Rohdaten_MahlzeitLebensmittel!$G9,TblFoodUnits[[#All],[Id]],0),MATCH(Rohdaten_MahlzeitLebensmittel!$I$1,TblFoodUnits[#Headers],0))/INDEX(TblFoodUnits[#All],MATCH(Rohdaten_MahlzeitLebensmittel!$C9&amp;Rohdaten_MahlzeitLebensmittel!$G9,TblFoodUnits[[#All],[Id]],0),MATCH(Rohdaten_MahlzeitLebensmittel!$H$1,TblFoodUnits[#Headers],0))*Rohdaten_MahlzeitLebensmittel!$H9,0),1)</f>
        <v>372</v>
      </c>
      <c r="J9" s="29">
        <f>ROUND(IFERROR(INDEX(TblFoodUnits[#All],MATCH(Rohdaten_MahlzeitLebensmittel!$C9&amp;Rohdaten_MahlzeitLebensmittel!$G9,TblFoodUnits[[#All],[Id]],0),MATCH(Rohdaten_MahlzeitLebensmittel!$J$1,TblFoodUnits[#Headers],0))/INDEX(TblFoodUnits[#All],MATCH(Rohdaten_MahlzeitLebensmittel!$C9&amp;Rohdaten_MahlzeitLebensmittel!$G9,TblFoodUnits[[#All],[Id]],0),MATCH(Rohdaten_MahlzeitLebensmittel!$H$1,TblFoodUnits[#Headers],0))*Rohdaten_MahlzeitLebensmittel!$H9,0),1)</f>
        <v>13.5</v>
      </c>
      <c r="K9" s="29">
        <f>ROUND(IFERROR(INDEX(TblFoodUnits[#All],MATCH(Rohdaten_MahlzeitLebensmittel!$C9&amp;Rohdaten_MahlzeitLebensmittel!$G9,TblFoodUnits[[#All],[Id]],0),MATCH(Rohdaten_MahlzeitLebensmittel!$K$1,TblFoodUnits[#Headers],0))/INDEX(TblFoodUnits[#All],MATCH(Rohdaten_MahlzeitLebensmittel!$C9&amp;Rohdaten_MahlzeitLebensmittel!$G9,TblFoodUnits[[#All],[Id]],0),MATCH(Rohdaten_MahlzeitLebensmittel!$H$1,TblFoodUnits[#Headers],0))*Rohdaten_MahlzeitLebensmittel!$H9,0),1)</f>
        <v>58.7</v>
      </c>
      <c r="L9" s="29">
        <f>ROUND(IFERROR(INDEX(TblFoodUnits[#All],MATCH(Rohdaten_MahlzeitLebensmittel!$C9&amp;Rohdaten_MahlzeitLebensmittel!$G9,TblFoodUnits[[#All],[Id]],0),MATCH(Rohdaten_MahlzeitLebensmittel!$L$1,TblFoodUnits[#Headers],0))/INDEX(TblFoodUnits[#All],MATCH(Rohdaten_MahlzeitLebensmittel!$C9&amp;Rohdaten_MahlzeitLebensmittel!$G9,TblFoodUnits[[#All],[Id]],0),MATCH(Rohdaten_MahlzeitLebensmittel!$H$1,TblFoodUnits[#Headers],0))*Rohdaten_MahlzeitLebensmittel!$H9,0),1)</f>
        <v>0</v>
      </c>
      <c r="M9" s="29">
        <f>ROUND(IFERROR(INDEX(TblFoodUnits[#All],MATCH(Rohdaten_MahlzeitLebensmittel!$C9&amp;Rohdaten_MahlzeitLebensmittel!$G9,TblFoodUnits[[#All],[Id]],0),MATCH(Rohdaten_MahlzeitLebensmittel!$M$1,TblFoodUnits[#Headers],0))/INDEX(TblFoodUnits[#All],MATCH(Rohdaten_MahlzeitLebensmittel!$C9&amp;Rohdaten_MahlzeitLebensmittel!$G9,TblFoodUnits[[#All],[Id]],0),MATCH(Rohdaten_MahlzeitLebensmittel!$H$1,TblFoodUnits[#Headers],0))*Rohdaten_MahlzeitLebensmittel!$H9,0),1)</f>
        <v>7</v>
      </c>
      <c r="N9" s="29">
        <f>ROUND(IFERROR(INDEX(TblFoodUnits[#All],MATCH(Rohdaten_MahlzeitLebensmittel!$C9&amp;Rohdaten_MahlzeitLebensmittel!$G9,TblFoodUnits[[#All],[Id]],0),MATCH(Rohdaten_MahlzeitLebensmittel!$N$1,TblFoodUnits[#Headers],0))/INDEX(TblFoodUnits[#All],MATCH(Rohdaten_MahlzeitLebensmittel!$C9&amp;Rohdaten_MahlzeitLebensmittel!$G9,TblFoodUnits[[#All],[Id]],0),MATCH(Rohdaten_MahlzeitLebensmittel!$H$1,TblFoodUnits[#Headers],0))*Rohdaten_MahlzeitLebensmittel!$H9,0),1)</f>
        <v>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A2FFB-1EFF-452B-8B4C-E52CC4C00DA6}">
  <sheetPr codeName="Tabelle4">
    <tabColor theme="9" tint="0.59999389629810485"/>
  </sheetPr>
  <dimension ref="A1:U47"/>
  <sheetViews>
    <sheetView workbookViewId="0">
      <selection sqref="A1:T47"/>
    </sheetView>
  </sheetViews>
  <sheetFormatPr baseColWidth="10" defaultRowHeight="14.5" x14ac:dyDescent="0.35"/>
  <cols>
    <col min="1" max="1" width="17.7265625" bestFit="1" customWidth="1"/>
    <col min="2" max="2" width="9.81640625" bestFit="1" customWidth="1"/>
    <col min="3" max="3" width="13.1796875" bestFit="1" customWidth="1"/>
    <col min="4" max="4" width="10.1796875" bestFit="1" customWidth="1"/>
    <col min="5" max="5" width="13" customWidth="1"/>
    <col min="6" max="6" width="11.08984375" customWidth="1"/>
    <col min="7" max="7" width="8" customWidth="1"/>
    <col min="8" max="8" width="12.54296875" customWidth="1"/>
    <col min="9" max="9" width="8.453125" customWidth="1"/>
    <col min="10" max="10" width="14.90625" customWidth="1"/>
    <col min="11" max="11" width="31.26953125" bestFit="1" customWidth="1"/>
    <col min="12" max="12" width="19.1796875" bestFit="1" customWidth="1"/>
    <col min="13" max="13" width="14.453125" bestFit="1" customWidth="1"/>
    <col min="14" max="14" width="19.1796875" customWidth="1"/>
    <col min="15" max="15" width="17.6328125" customWidth="1"/>
    <col min="16" max="18" width="16" customWidth="1"/>
    <col min="19" max="19" width="26.81640625" bestFit="1" customWidth="1"/>
    <col min="20" max="20" width="7.90625" customWidth="1"/>
    <col min="21" max="21" width="15.26953125" bestFit="1" customWidth="1"/>
  </cols>
  <sheetData>
    <row r="1" spans="1:21" x14ac:dyDescent="0.35">
      <c r="A1" s="22" t="s">
        <v>97</v>
      </c>
      <c r="B1" s="22" t="s">
        <v>73</v>
      </c>
      <c r="C1" s="22" t="s">
        <v>98</v>
      </c>
      <c r="D1" s="22" t="s">
        <v>1</v>
      </c>
      <c r="E1" s="22" t="s">
        <v>82</v>
      </c>
      <c r="F1" s="22" t="s">
        <v>74</v>
      </c>
      <c r="G1" s="22" t="s">
        <v>75</v>
      </c>
      <c r="H1" s="22" t="s">
        <v>99</v>
      </c>
      <c r="I1" s="22" t="s">
        <v>76</v>
      </c>
      <c r="J1" s="22" t="s">
        <v>77</v>
      </c>
      <c r="K1" s="22" t="s">
        <v>87</v>
      </c>
      <c r="L1" s="22" t="s">
        <v>88</v>
      </c>
      <c r="M1" s="22" t="s">
        <v>100</v>
      </c>
      <c r="N1" s="22" t="s">
        <v>101</v>
      </c>
      <c r="O1" s="22" t="s">
        <v>102</v>
      </c>
      <c r="P1" s="22" t="s">
        <v>103</v>
      </c>
      <c r="Q1" s="22" t="s">
        <v>104</v>
      </c>
      <c r="R1" s="22" t="s">
        <v>105</v>
      </c>
      <c r="S1" s="22" t="s">
        <v>106</v>
      </c>
      <c r="T1" s="22" t="s">
        <v>107</v>
      </c>
      <c r="U1" s="22" t="s">
        <v>115</v>
      </c>
    </row>
    <row r="2" spans="1:21" x14ac:dyDescent="0.35">
      <c r="A2" s="23">
        <v>12</v>
      </c>
      <c r="B2" s="23">
        <v>537121649</v>
      </c>
      <c r="C2" s="23">
        <v>0</v>
      </c>
      <c r="D2" s="23" t="s">
        <v>78</v>
      </c>
      <c r="E2" s="23" t="s">
        <v>78</v>
      </c>
      <c r="F2" s="23">
        <v>0</v>
      </c>
      <c r="G2" s="23" t="b">
        <v>0</v>
      </c>
      <c r="H2" s="23" t="b">
        <v>0</v>
      </c>
      <c r="I2" s="23" t="b">
        <v>0</v>
      </c>
      <c r="J2" s="23" t="s">
        <v>79</v>
      </c>
      <c r="K2" s="23" t="s">
        <v>14</v>
      </c>
      <c r="L2" s="23" t="s">
        <v>9</v>
      </c>
      <c r="M2" s="23"/>
      <c r="N2" s="23">
        <v>0</v>
      </c>
      <c r="O2" s="23">
        <v>0</v>
      </c>
      <c r="P2" s="23"/>
      <c r="Q2" s="23"/>
      <c r="R2" s="23"/>
      <c r="S2" s="23" t="s">
        <v>80</v>
      </c>
      <c r="T2" s="23">
        <v>0</v>
      </c>
      <c r="U2" s="23">
        <f>COUNTIFS(TblMealFoods[NahrungsmittelId],TblFoods[[#This Row],[NahrungsmittelId]])</f>
        <v>0</v>
      </c>
    </row>
    <row r="3" spans="1:21" x14ac:dyDescent="0.35">
      <c r="A3" s="23">
        <v>41</v>
      </c>
      <c r="B3" s="23">
        <v>756431577</v>
      </c>
      <c r="C3" s="23">
        <v>0</v>
      </c>
      <c r="D3" s="23" t="s">
        <v>78</v>
      </c>
      <c r="E3" s="23" t="s">
        <v>78</v>
      </c>
      <c r="F3" s="23">
        <v>0</v>
      </c>
      <c r="G3" s="23" t="b">
        <v>0</v>
      </c>
      <c r="H3" s="23" t="b">
        <v>0</v>
      </c>
      <c r="I3" s="23" t="b">
        <v>0</v>
      </c>
      <c r="J3" s="23" t="s">
        <v>79</v>
      </c>
      <c r="K3" s="23" t="s">
        <v>12</v>
      </c>
      <c r="L3" s="23" t="s">
        <v>13</v>
      </c>
      <c r="M3" s="23"/>
      <c r="N3" s="23">
        <v>0</v>
      </c>
      <c r="O3" s="23">
        <v>0</v>
      </c>
      <c r="P3" s="23"/>
      <c r="Q3" s="23"/>
      <c r="R3" s="23"/>
      <c r="S3" s="23" t="s">
        <v>80</v>
      </c>
      <c r="T3" s="23">
        <v>0</v>
      </c>
      <c r="U3" s="23">
        <f>COUNTIFS(TblMealFoods[NahrungsmittelId],TblFoods[[#This Row],[NahrungsmittelId]])</f>
        <v>0</v>
      </c>
    </row>
    <row r="4" spans="1:21" x14ac:dyDescent="0.35">
      <c r="A4" s="23">
        <v>36</v>
      </c>
      <c r="B4" s="23">
        <v>537184799</v>
      </c>
      <c r="C4" s="23">
        <v>0</v>
      </c>
      <c r="D4" s="23" t="s">
        <v>78</v>
      </c>
      <c r="E4" s="23" t="s">
        <v>78</v>
      </c>
      <c r="F4" s="23">
        <v>0</v>
      </c>
      <c r="G4" s="23" t="b">
        <v>0</v>
      </c>
      <c r="H4" s="23" t="b">
        <v>0</v>
      </c>
      <c r="I4" s="23" t="b">
        <v>0</v>
      </c>
      <c r="J4" s="23" t="s">
        <v>79</v>
      </c>
      <c r="K4" s="23" t="s">
        <v>17</v>
      </c>
      <c r="L4" s="23" t="s">
        <v>6</v>
      </c>
      <c r="M4" s="23"/>
      <c r="N4" s="23">
        <v>0</v>
      </c>
      <c r="O4" s="23">
        <v>0</v>
      </c>
      <c r="P4" s="23"/>
      <c r="Q4" s="23"/>
      <c r="R4" s="23"/>
      <c r="S4" s="23" t="s">
        <v>80</v>
      </c>
      <c r="T4" s="23">
        <v>0</v>
      </c>
      <c r="U4" s="23">
        <f>COUNTIFS(TblMealFoods[NahrungsmittelId],TblFoods[[#This Row],[NahrungsmittelId]])</f>
        <v>7</v>
      </c>
    </row>
    <row r="5" spans="1:21" x14ac:dyDescent="0.35">
      <c r="A5" s="23">
        <v>2</v>
      </c>
      <c r="B5" s="23">
        <v>2631250</v>
      </c>
      <c r="C5" s="23">
        <v>0</v>
      </c>
      <c r="D5" s="23" t="s">
        <v>78</v>
      </c>
      <c r="E5" s="23" t="s">
        <v>78</v>
      </c>
      <c r="F5" s="23">
        <v>0</v>
      </c>
      <c r="G5" s="23" t="b">
        <v>0</v>
      </c>
      <c r="H5" s="23" t="b">
        <v>0</v>
      </c>
      <c r="I5" s="23" t="b">
        <v>0</v>
      </c>
      <c r="J5" s="23" t="s">
        <v>79</v>
      </c>
      <c r="K5" s="23" t="s">
        <v>58</v>
      </c>
      <c r="L5" s="23" t="s">
        <v>9</v>
      </c>
      <c r="M5" s="23"/>
      <c r="N5" s="23">
        <v>0</v>
      </c>
      <c r="O5" s="23">
        <v>0</v>
      </c>
      <c r="P5" s="23"/>
      <c r="Q5" s="23"/>
      <c r="R5" s="23"/>
      <c r="S5" s="23" t="s">
        <v>80</v>
      </c>
      <c r="T5" s="23">
        <v>0</v>
      </c>
      <c r="U5" s="23">
        <f>COUNTIFS(TblMealFoods[NahrungsmittelId],TblFoods[[#This Row],[NahrungsmittelId]])</f>
        <v>0</v>
      </c>
    </row>
    <row r="6" spans="1:21" x14ac:dyDescent="0.35">
      <c r="A6" s="23">
        <v>58</v>
      </c>
      <c r="B6" s="23">
        <v>543378722</v>
      </c>
      <c r="C6" s="23">
        <v>0</v>
      </c>
      <c r="D6" s="23" t="s">
        <v>78</v>
      </c>
      <c r="E6" s="23" t="s">
        <v>78</v>
      </c>
      <c r="F6" s="23">
        <v>0</v>
      </c>
      <c r="G6" s="23" t="b">
        <v>0</v>
      </c>
      <c r="H6" s="23" t="b">
        <v>0</v>
      </c>
      <c r="I6" s="23" t="b">
        <v>0</v>
      </c>
      <c r="J6" s="23" t="s">
        <v>79</v>
      </c>
      <c r="K6" s="23" t="s">
        <v>10</v>
      </c>
      <c r="L6" s="23" t="s">
        <v>11</v>
      </c>
      <c r="M6" s="23"/>
      <c r="N6" s="23">
        <v>0</v>
      </c>
      <c r="O6" s="23">
        <v>0</v>
      </c>
      <c r="P6" s="23"/>
      <c r="Q6" s="23"/>
      <c r="R6" s="23"/>
      <c r="S6" s="23" t="s">
        <v>80</v>
      </c>
      <c r="T6" s="23">
        <v>0</v>
      </c>
      <c r="U6" s="23">
        <f>COUNTIFS(TblMealFoods[NahrungsmittelId],TblFoods[[#This Row],[NahrungsmittelId]])</f>
        <v>0</v>
      </c>
    </row>
    <row r="7" spans="1:21" x14ac:dyDescent="0.35">
      <c r="A7" s="23">
        <v>23</v>
      </c>
      <c r="B7" s="23">
        <v>537152087</v>
      </c>
      <c r="C7" s="23">
        <v>0</v>
      </c>
      <c r="D7" s="23" t="s">
        <v>78</v>
      </c>
      <c r="E7" s="23" t="s">
        <v>78</v>
      </c>
      <c r="F7" s="23">
        <v>0</v>
      </c>
      <c r="G7" s="23" t="b">
        <v>0</v>
      </c>
      <c r="H7" s="23" t="b">
        <v>0</v>
      </c>
      <c r="I7" s="23" t="b">
        <v>0</v>
      </c>
      <c r="J7" s="23" t="s">
        <v>79</v>
      </c>
      <c r="K7" s="23" t="s">
        <v>25</v>
      </c>
      <c r="L7" s="23" t="s">
        <v>6</v>
      </c>
      <c r="M7" s="23"/>
      <c r="N7" s="23">
        <v>0</v>
      </c>
      <c r="O7" s="23">
        <v>0</v>
      </c>
      <c r="P7" s="23"/>
      <c r="Q7" s="23"/>
      <c r="R7" s="23"/>
      <c r="S7" s="23" t="s">
        <v>80</v>
      </c>
      <c r="T7" s="23">
        <v>0</v>
      </c>
      <c r="U7" s="23">
        <f>COUNTIFS(TblMealFoods[NahrungsmittelId],TblFoods[[#This Row],[NahrungsmittelId]])</f>
        <v>0</v>
      </c>
    </row>
    <row r="8" spans="1:21" x14ac:dyDescent="0.35">
      <c r="A8" s="23">
        <v>55</v>
      </c>
      <c r="B8" s="23">
        <v>537246415</v>
      </c>
      <c r="C8" s="23">
        <v>0</v>
      </c>
      <c r="D8" s="23" t="s">
        <v>78</v>
      </c>
      <c r="E8" s="23" t="s">
        <v>78</v>
      </c>
      <c r="F8" s="23">
        <v>0</v>
      </c>
      <c r="G8" s="23" t="b">
        <v>0</v>
      </c>
      <c r="H8" s="23" t="b">
        <v>0</v>
      </c>
      <c r="I8" s="23" t="b">
        <v>0</v>
      </c>
      <c r="J8" s="23" t="s">
        <v>79</v>
      </c>
      <c r="K8" s="23" t="s">
        <v>8</v>
      </c>
      <c r="L8" s="23" t="s">
        <v>9</v>
      </c>
      <c r="M8" s="23"/>
      <c r="N8" s="23">
        <v>0</v>
      </c>
      <c r="O8" s="23">
        <v>0</v>
      </c>
      <c r="P8" s="23"/>
      <c r="Q8" s="23"/>
      <c r="R8" s="23"/>
      <c r="S8" s="23" t="s">
        <v>80</v>
      </c>
      <c r="T8" s="23">
        <v>0</v>
      </c>
      <c r="U8" s="23">
        <f>COUNTIFS(TblMealFoods[NahrungsmittelId],TblFoods[[#This Row],[NahrungsmittelId]])</f>
        <v>0</v>
      </c>
    </row>
    <row r="9" spans="1:21" x14ac:dyDescent="0.35">
      <c r="A9" s="23">
        <v>18</v>
      </c>
      <c r="B9" s="23">
        <v>537129796</v>
      </c>
      <c r="C9" s="23">
        <v>0</v>
      </c>
      <c r="D9" s="23" t="s">
        <v>78</v>
      </c>
      <c r="E9" s="23" t="s">
        <v>78</v>
      </c>
      <c r="F9" s="23">
        <v>0</v>
      </c>
      <c r="G9" s="23" t="b">
        <v>0</v>
      </c>
      <c r="H9" s="23" t="b">
        <v>0</v>
      </c>
      <c r="I9" s="23" t="b">
        <v>0</v>
      </c>
      <c r="J9" s="23" t="s">
        <v>79</v>
      </c>
      <c r="K9" s="23" t="s">
        <v>22</v>
      </c>
      <c r="L9" s="23" t="s">
        <v>23</v>
      </c>
      <c r="M9" s="23"/>
      <c r="N9" s="23">
        <v>0</v>
      </c>
      <c r="O9" s="23">
        <v>0</v>
      </c>
      <c r="P9" s="23"/>
      <c r="Q9" s="23"/>
      <c r="R9" s="23"/>
      <c r="S9" s="23" t="s">
        <v>80</v>
      </c>
      <c r="T9" s="23">
        <v>0</v>
      </c>
      <c r="U9" s="23">
        <f>COUNTIFS(TblMealFoods[NahrungsmittelId],TblFoods[[#This Row],[NahrungsmittelId]])</f>
        <v>0</v>
      </c>
    </row>
    <row r="10" spans="1:21" x14ac:dyDescent="0.35">
      <c r="A10" s="23">
        <v>61</v>
      </c>
      <c r="B10" s="23">
        <v>704131040</v>
      </c>
      <c r="C10" s="23">
        <v>0</v>
      </c>
      <c r="D10" s="23" t="s">
        <v>78</v>
      </c>
      <c r="E10" s="23" t="s">
        <v>78</v>
      </c>
      <c r="F10" s="23">
        <v>0</v>
      </c>
      <c r="G10" s="23" t="b">
        <v>0</v>
      </c>
      <c r="H10" s="23" t="b">
        <v>0</v>
      </c>
      <c r="I10" s="23" t="b">
        <v>0</v>
      </c>
      <c r="J10" s="23" t="s">
        <v>79</v>
      </c>
      <c r="K10" s="23" t="s">
        <v>5</v>
      </c>
      <c r="L10" s="23" t="s">
        <v>6</v>
      </c>
      <c r="M10" s="23"/>
      <c r="N10" s="23">
        <v>0</v>
      </c>
      <c r="O10" s="23">
        <v>0</v>
      </c>
      <c r="P10" s="23"/>
      <c r="Q10" s="23"/>
      <c r="R10" s="23"/>
      <c r="S10" s="23" t="s">
        <v>80</v>
      </c>
      <c r="T10" s="23">
        <v>0</v>
      </c>
      <c r="U10" s="23">
        <f>COUNTIFS(TblMealFoods[NahrungsmittelId],TblFoods[[#This Row],[NahrungsmittelId]])</f>
        <v>0</v>
      </c>
    </row>
    <row r="11" spans="1:21" x14ac:dyDescent="0.35">
      <c r="A11" s="23">
        <v>40</v>
      </c>
      <c r="B11" s="23">
        <v>756388297</v>
      </c>
      <c r="C11" s="23">
        <v>0</v>
      </c>
      <c r="D11" s="23" t="s">
        <v>78</v>
      </c>
      <c r="E11" s="23" t="s">
        <v>78</v>
      </c>
      <c r="F11" s="23">
        <v>0</v>
      </c>
      <c r="G11" s="23" t="b">
        <v>0</v>
      </c>
      <c r="H11" s="23" t="b">
        <v>0</v>
      </c>
      <c r="I11" s="23" t="b">
        <v>0</v>
      </c>
      <c r="J11" s="23" t="s">
        <v>79</v>
      </c>
      <c r="K11" s="23" t="s">
        <v>67</v>
      </c>
      <c r="L11" s="23" t="s">
        <v>68</v>
      </c>
      <c r="M11" s="23"/>
      <c r="N11" s="23">
        <v>0</v>
      </c>
      <c r="O11" s="23">
        <v>0</v>
      </c>
      <c r="P11" s="23"/>
      <c r="Q11" s="23"/>
      <c r="R11" s="23"/>
      <c r="S11" s="23" t="s">
        <v>80</v>
      </c>
      <c r="T11" s="23">
        <v>0</v>
      </c>
      <c r="U11" s="23">
        <f>COUNTIFS(TblMealFoods[NahrungsmittelId],TblFoods[[#This Row],[NahrungsmittelId]])</f>
        <v>0</v>
      </c>
    </row>
    <row r="12" spans="1:21" x14ac:dyDescent="0.35">
      <c r="A12" s="23">
        <v>5</v>
      </c>
      <c r="B12" s="23">
        <v>2635428</v>
      </c>
      <c r="C12" s="23">
        <v>0</v>
      </c>
      <c r="D12" s="23" t="s">
        <v>78</v>
      </c>
      <c r="E12" s="23" t="s">
        <v>78</v>
      </c>
      <c r="F12" s="23">
        <v>0</v>
      </c>
      <c r="G12" s="23" t="b">
        <v>0</v>
      </c>
      <c r="H12" s="23" t="b">
        <v>0</v>
      </c>
      <c r="I12" s="23" t="b">
        <v>0</v>
      </c>
      <c r="J12" s="23" t="s">
        <v>79</v>
      </c>
      <c r="K12" s="23" t="s">
        <v>51</v>
      </c>
      <c r="L12" s="23" t="s">
        <v>9</v>
      </c>
      <c r="M12" s="23"/>
      <c r="N12" s="23">
        <v>0</v>
      </c>
      <c r="O12" s="23">
        <v>0</v>
      </c>
      <c r="P12" s="23"/>
      <c r="Q12" s="23"/>
      <c r="R12" s="23"/>
      <c r="S12" s="23" t="s">
        <v>80</v>
      </c>
      <c r="T12" s="23">
        <v>0</v>
      </c>
      <c r="U12" s="23">
        <f>COUNTIFS(TblMealFoods[NahrungsmittelId],TblFoods[[#This Row],[NahrungsmittelId]])</f>
        <v>0</v>
      </c>
    </row>
    <row r="13" spans="1:21" x14ac:dyDescent="0.35">
      <c r="A13" s="23">
        <v>30</v>
      </c>
      <c r="B13" s="23">
        <v>537164527</v>
      </c>
      <c r="C13" s="23">
        <v>0</v>
      </c>
      <c r="D13" s="23" t="s">
        <v>78</v>
      </c>
      <c r="E13" s="23" t="s">
        <v>78</v>
      </c>
      <c r="F13" s="23">
        <v>0</v>
      </c>
      <c r="G13" s="23" t="b">
        <v>0</v>
      </c>
      <c r="H13" s="23" t="b">
        <v>0</v>
      </c>
      <c r="I13" s="23" t="b">
        <v>0</v>
      </c>
      <c r="J13" s="23" t="s">
        <v>79</v>
      </c>
      <c r="K13" s="23" t="s">
        <v>54</v>
      </c>
      <c r="L13" s="23" t="s">
        <v>55</v>
      </c>
      <c r="M13" s="23"/>
      <c r="N13" s="23">
        <v>0</v>
      </c>
      <c r="O13" s="23">
        <v>0</v>
      </c>
      <c r="P13" s="23"/>
      <c r="Q13" s="23"/>
      <c r="R13" s="23"/>
      <c r="S13" s="23" t="s">
        <v>80</v>
      </c>
      <c r="T13" s="23">
        <v>0</v>
      </c>
      <c r="U13" s="23">
        <f>COUNTIFS(TblMealFoods[NahrungsmittelId],TblFoods[[#This Row],[NahrungsmittelId]])</f>
        <v>0</v>
      </c>
    </row>
    <row r="14" spans="1:21" x14ac:dyDescent="0.35">
      <c r="A14" s="23">
        <v>31</v>
      </c>
      <c r="B14" s="23">
        <v>537167294</v>
      </c>
      <c r="C14" s="23">
        <v>0</v>
      </c>
      <c r="D14" s="23" t="s">
        <v>78</v>
      </c>
      <c r="E14" s="23" t="s">
        <v>78</v>
      </c>
      <c r="F14" s="23">
        <v>0</v>
      </c>
      <c r="G14" s="23" t="b">
        <v>0</v>
      </c>
      <c r="H14" s="23" t="b">
        <v>0</v>
      </c>
      <c r="I14" s="23" t="b">
        <v>0</v>
      </c>
      <c r="J14" s="23" t="s">
        <v>79</v>
      </c>
      <c r="K14" s="23" t="s">
        <v>18</v>
      </c>
      <c r="L14" s="23" t="s">
        <v>19</v>
      </c>
      <c r="M14" s="23"/>
      <c r="N14" s="23">
        <v>0</v>
      </c>
      <c r="O14" s="23">
        <v>0</v>
      </c>
      <c r="P14" s="23"/>
      <c r="Q14" s="23"/>
      <c r="R14" s="23"/>
      <c r="S14" s="23" t="s">
        <v>80</v>
      </c>
      <c r="T14" s="23">
        <v>0</v>
      </c>
      <c r="U14" s="23">
        <f>COUNTIFS(TblMealFoods[NahrungsmittelId],TblFoods[[#This Row],[NahrungsmittelId]])</f>
        <v>0</v>
      </c>
    </row>
    <row r="15" spans="1:21" x14ac:dyDescent="0.35">
      <c r="A15" s="23">
        <v>10</v>
      </c>
      <c r="B15" s="23">
        <v>537115303</v>
      </c>
      <c r="C15" s="23">
        <v>0</v>
      </c>
      <c r="D15" s="23" t="s">
        <v>78</v>
      </c>
      <c r="E15" s="23" t="s">
        <v>78</v>
      </c>
      <c r="F15" s="23">
        <v>0</v>
      </c>
      <c r="G15" s="23" t="b">
        <v>0</v>
      </c>
      <c r="H15" s="23" t="b">
        <v>0</v>
      </c>
      <c r="I15" s="23" t="b">
        <v>0</v>
      </c>
      <c r="J15" s="23" t="s">
        <v>79</v>
      </c>
      <c r="K15" s="23" t="s">
        <v>71</v>
      </c>
      <c r="L15" s="23" t="s">
        <v>60</v>
      </c>
      <c r="M15" s="23"/>
      <c r="N15" s="23">
        <v>0</v>
      </c>
      <c r="O15" s="23">
        <v>0</v>
      </c>
      <c r="P15" s="23"/>
      <c r="Q15" s="23"/>
      <c r="R15" s="23"/>
      <c r="S15" s="23" t="s">
        <v>80</v>
      </c>
      <c r="T15" s="23">
        <v>0</v>
      </c>
      <c r="U15" s="23">
        <f>COUNTIFS(TblMealFoods[NahrungsmittelId],TblFoods[[#This Row],[NahrungsmittelId]])</f>
        <v>0</v>
      </c>
    </row>
    <row r="16" spans="1:21" x14ac:dyDescent="0.35">
      <c r="A16" s="23">
        <v>26</v>
      </c>
      <c r="B16" s="23">
        <v>537159228</v>
      </c>
      <c r="C16" s="23">
        <v>0</v>
      </c>
      <c r="D16" s="23" t="s">
        <v>78</v>
      </c>
      <c r="E16" s="23" t="s">
        <v>78</v>
      </c>
      <c r="F16" s="23">
        <v>0</v>
      </c>
      <c r="G16" s="23" t="b">
        <v>0</v>
      </c>
      <c r="H16" s="23" t="b">
        <v>0</v>
      </c>
      <c r="I16" s="23" t="b">
        <v>0</v>
      </c>
      <c r="J16" s="23" t="s">
        <v>79</v>
      </c>
      <c r="K16" s="23" t="s">
        <v>2</v>
      </c>
      <c r="L16" s="23" t="s">
        <v>3</v>
      </c>
      <c r="M16" s="23"/>
      <c r="N16" s="23">
        <v>0</v>
      </c>
      <c r="O16" s="23">
        <v>0</v>
      </c>
      <c r="P16" s="23"/>
      <c r="Q16" s="23"/>
      <c r="R16" s="23"/>
      <c r="S16" s="23" t="s">
        <v>80</v>
      </c>
      <c r="T16" s="23">
        <v>0</v>
      </c>
      <c r="U16" s="23">
        <f>COUNTIFS(TblMealFoods[NahrungsmittelId],TblFoods[[#This Row],[NahrungsmittelId]])</f>
        <v>0</v>
      </c>
    </row>
    <row r="17" spans="1:21" x14ac:dyDescent="0.35">
      <c r="A17" s="23">
        <v>32</v>
      </c>
      <c r="B17" s="23">
        <v>537175829</v>
      </c>
      <c r="C17" s="23">
        <v>0</v>
      </c>
      <c r="D17" s="23" t="s">
        <v>78</v>
      </c>
      <c r="E17" s="23" t="s">
        <v>78</v>
      </c>
      <c r="F17" s="23">
        <v>0</v>
      </c>
      <c r="G17" s="23" t="b">
        <v>0</v>
      </c>
      <c r="H17" s="23" t="b">
        <v>0</v>
      </c>
      <c r="I17" s="23" t="b">
        <v>0</v>
      </c>
      <c r="J17" s="23" t="s">
        <v>79</v>
      </c>
      <c r="K17" s="23" t="s">
        <v>16</v>
      </c>
      <c r="L17" s="23" t="s">
        <v>9</v>
      </c>
      <c r="M17" s="23"/>
      <c r="N17" s="23">
        <v>0</v>
      </c>
      <c r="O17" s="23">
        <v>0</v>
      </c>
      <c r="P17" s="23"/>
      <c r="Q17" s="23"/>
      <c r="R17" s="23"/>
      <c r="S17" s="23" t="s">
        <v>80</v>
      </c>
      <c r="T17" s="23">
        <v>0</v>
      </c>
      <c r="U17" s="23">
        <f>COUNTIFS(TblMealFoods[NahrungsmittelId],TblFoods[[#This Row],[NahrungsmittelId]])</f>
        <v>0</v>
      </c>
    </row>
    <row r="18" spans="1:21" x14ac:dyDescent="0.35">
      <c r="A18" s="23">
        <v>54</v>
      </c>
      <c r="B18" s="23">
        <v>537243670</v>
      </c>
      <c r="C18" s="23">
        <v>0</v>
      </c>
      <c r="D18" s="23" t="s">
        <v>78</v>
      </c>
      <c r="E18" s="23" t="s">
        <v>78</v>
      </c>
      <c r="F18" s="23">
        <v>0</v>
      </c>
      <c r="G18" s="23" t="b">
        <v>0</v>
      </c>
      <c r="H18" s="23" t="b">
        <v>0</v>
      </c>
      <c r="I18" s="23" t="b">
        <v>0</v>
      </c>
      <c r="J18" s="23" t="s">
        <v>79</v>
      </c>
      <c r="K18" s="23" t="s">
        <v>24</v>
      </c>
      <c r="L18" s="23" t="s">
        <v>6</v>
      </c>
      <c r="M18" s="23"/>
      <c r="N18" s="23">
        <v>0</v>
      </c>
      <c r="O18" s="23">
        <v>0</v>
      </c>
      <c r="P18" s="23"/>
      <c r="Q18" s="23"/>
      <c r="R18" s="23"/>
      <c r="S18" s="23" t="s">
        <v>80</v>
      </c>
      <c r="T18" s="23">
        <v>0</v>
      </c>
      <c r="U18" s="23">
        <f>COUNTIFS(TblMealFoods[NahrungsmittelId],TblFoods[[#This Row],[NahrungsmittelId]])</f>
        <v>0</v>
      </c>
    </row>
    <row r="19" spans="1:21" x14ac:dyDescent="0.35">
      <c r="A19" s="23">
        <v>47</v>
      </c>
      <c r="B19" s="23">
        <v>537205741</v>
      </c>
      <c r="C19" s="23">
        <v>0</v>
      </c>
      <c r="D19" s="23" t="s">
        <v>78</v>
      </c>
      <c r="E19" s="23" t="s">
        <v>78</v>
      </c>
      <c r="F19" s="23">
        <v>0</v>
      </c>
      <c r="G19" s="23" t="b">
        <v>0</v>
      </c>
      <c r="H19" s="23" t="b">
        <v>0</v>
      </c>
      <c r="I19" s="23" t="b">
        <v>0</v>
      </c>
      <c r="J19" s="23" t="s">
        <v>79</v>
      </c>
      <c r="K19" s="23" t="s">
        <v>28</v>
      </c>
      <c r="L19" s="23" t="s">
        <v>29</v>
      </c>
      <c r="M19" s="23"/>
      <c r="N19" s="23">
        <v>0</v>
      </c>
      <c r="O19" s="23">
        <v>0</v>
      </c>
      <c r="P19" s="23"/>
      <c r="Q19" s="23"/>
      <c r="R19" s="23"/>
      <c r="S19" s="23" t="s">
        <v>80</v>
      </c>
      <c r="T19" s="23">
        <v>0</v>
      </c>
      <c r="U19" s="23">
        <f>COUNTIFS(TblMealFoods[NahrungsmittelId],TblFoods[[#This Row],[NahrungsmittelId]])</f>
        <v>0</v>
      </c>
    </row>
    <row r="20" spans="1:21" x14ac:dyDescent="0.35">
      <c r="A20" s="23">
        <v>67</v>
      </c>
      <c r="B20" s="23">
        <v>0</v>
      </c>
      <c r="C20" s="23">
        <v>0</v>
      </c>
      <c r="D20" s="23" t="s">
        <v>78</v>
      </c>
      <c r="E20" s="23" t="s">
        <v>78</v>
      </c>
      <c r="F20" s="23">
        <v>0</v>
      </c>
      <c r="G20" s="23" t="b">
        <v>0</v>
      </c>
      <c r="H20" s="23" t="b">
        <v>0</v>
      </c>
      <c r="I20" s="23" t="b">
        <v>0</v>
      </c>
      <c r="J20" s="23" t="s">
        <v>79</v>
      </c>
      <c r="K20" s="23" t="s">
        <v>69</v>
      </c>
      <c r="L20" s="23" t="s">
        <v>13</v>
      </c>
      <c r="M20" s="23" t="s">
        <v>81</v>
      </c>
      <c r="N20" s="23">
        <v>0</v>
      </c>
      <c r="O20" s="23">
        <v>0</v>
      </c>
      <c r="P20" s="23"/>
      <c r="Q20" s="23"/>
      <c r="R20" s="23"/>
      <c r="S20" s="23" t="s">
        <v>80</v>
      </c>
      <c r="T20" s="23">
        <v>0</v>
      </c>
      <c r="U20" s="23">
        <f>COUNTIFS(TblMealFoods[NahrungsmittelId],TblFoods[[#This Row],[NahrungsmittelId]])</f>
        <v>0</v>
      </c>
    </row>
    <row r="21" spans="1:21" x14ac:dyDescent="0.35">
      <c r="A21" s="23">
        <v>66</v>
      </c>
      <c r="B21" s="23">
        <v>0</v>
      </c>
      <c r="C21" s="23">
        <v>0</v>
      </c>
      <c r="D21" s="23" t="s">
        <v>78</v>
      </c>
      <c r="E21" s="23" t="s">
        <v>78</v>
      </c>
      <c r="F21" s="23">
        <v>0</v>
      </c>
      <c r="G21" s="23" t="b">
        <v>0</v>
      </c>
      <c r="H21" s="23" t="b">
        <v>0</v>
      </c>
      <c r="I21" s="23" t="b">
        <v>0</v>
      </c>
      <c r="J21" s="23" t="s">
        <v>79</v>
      </c>
      <c r="K21" s="23" t="s">
        <v>70</v>
      </c>
      <c r="L21" s="23" t="s">
        <v>13</v>
      </c>
      <c r="M21" s="23" t="s">
        <v>81</v>
      </c>
      <c r="N21" s="23">
        <v>0</v>
      </c>
      <c r="O21" s="23">
        <v>0</v>
      </c>
      <c r="P21" s="23"/>
      <c r="Q21" s="23"/>
      <c r="R21" s="23"/>
      <c r="S21" s="23" t="s">
        <v>80</v>
      </c>
      <c r="T21" s="23">
        <v>0</v>
      </c>
      <c r="U21" s="23">
        <f>COUNTIFS(TblMealFoods[NahrungsmittelId],TblFoods[[#This Row],[NahrungsmittelId]])</f>
        <v>0</v>
      </c>
    </row>
    <row r="22" spans="1:21" x14ac:dyDescent="0.35">
      <c r="A22" s="23">
        <v>21</v>
      </c>
      <c r="B22" s="23">
        <v>537141977</v>
      </c>
      <c r="C22" s="23">
        <v>0</v>
      </c>
      <c r="D22" s="23" t="s">
        <v>78</v>
      </c>
      <c r="E22" s="23" t="s">
        <v>78</v>
      </c>
      <c r="F22" s="23">
        <v>0</v>
      </c>
      <c r="G22" s="23" t="b">
        <v>0</v>
      </c>
      <c r="H22" s="23" t="b">
        <v>0</v>
      </c>
      <c r="I22" s="23" t="b">
        <v>0</v>
      </c>
      <c r="J22" s="23" t="s">
        <v>79</v>
      </c>
      <c r="K22" s="23" t="s">
        <v>46</v>
      </c>
      <c r="L22" s="23" t="s">
        <v>21</v>
      </c>
      <c r="M22" s="23"/>
      <c r="N22" s="23">
        <v>0</v>
      </c>
      <c r="O22" s="23">
        <v>0</v>
      </c>
      <c r="P22" s="23"/>
      <c r="Q22" s="23"/>
      <c r="R22" s="23"/>
      <c r="S22" s="23" t="s">
        <v>80</v>
      </c>
      <c r="T22" s="23">
        <v>0</v>
      </c>
      <c r="U22" s="23">
        <f>COUNTIFS(TblMealFoods[NahrungsmittelId],TblFoods[[#This Row],[NahrungsmittelId]])</f>
        <v>0</v>
      </c>
    </row>
    <row r="23" spans="1:21" x14ac:dyDescent="0.35">
      <c r="A23" s="23">
        <v>3</v>
      </c>
      <c r="B23" s="23">
        <v>2632382</v>
      </c>
      <c r="C23" s="23">
        <v>0</v>
      </c>
      <c r="D23" s="23" t="s">
        <v>78</v>
      </c>
      <c r="E23" s="23" t="s">
        <v>78</v>
      </c>
      <c r="F23" s="23">
        <v>0</v>
      </c>
      <c r="G23" s="23" t="b">
        <v>0</v>
      </c>
      <c r="H23" s="23" t="b">
        <v>0</v>
      </c>
      <c r="I23" s="23" t="b">
        <v>0</v>
      </c>
      <c r="J23" s="23" t="s">
        <v>79</v>
      </c>
      <c r="K23" s="23" t="s">
        <v>35</v>
      </c>
      <c r="L23" s="23" t="s">
        <v>9</v>
      </c>
      <c r="M23" s="23"/>
      <c r="N23" s="23">
        <v>0</v>
      </c>
      <c r="O23" s="23">
        <v>0</v>
      </c>
      <c r="P23" s="23"/>
      <c r="Q23" s="23"/>
      <c r="R23" s="23"/>
      <c r="S23" s="23" t="s">
        <v>80</v>
      </c>
      <c r="T23" s="23">
        <v>0</v>
      </c>
      <c r="U23" s="23">
        <f>COUNTIFS(TblMealFoods[NahrungsmittelId],TblFoods[[#This Row],[NahrungsmittelId]])</f>
        <v>0</v>
      </c>
    </row>
    <row r="24" spans="1:21" x14ac:dyDescent="0.35">
      <c r="A24" s="23">
        <v>8</v>
      </c>
      <c r="B24" s="23">
        <v>2636305</v>
      </c>
      <c r="C24" s="23">
        <v>0</v>
      </c>
      <c r="D24" s="23" t="s">
        <v>78</v>
      </c>
      <c r="E24" s="23" t="s">
        <v>78</v>
      </c>
      <c r="F24" s="23">
        <v>0</v>
      </c>
      <c r="G24" s="23" t="b">
        <v>0</v>
      </c>
      <c r="H24" s="23" t="b">
        <v>0</v>
      </c>
      <c r="I24" s="23" t="b">
        <v>0</v>
      </c>
      <c r="J24" s="23" t="s">
        <v>79</v>
      </c>
      <c r="K24" s="23" t="s">
        <v>34</v>
      </c>
      <c r="L24" s="23" t="s">
        <v>9</v>
      </c>
      <c r="M24" s="23"/>
      <c r="N24" s="23">
        <v>0</v>
      </c>
      <c r="O24" s="23">
        <v>0</v>
      </c>
      <c r="P24" s="23"/>
      <c r="Q24" s="23"/>
      <c r="R24" s="23"/>
      <c r="S24" s="23" t="s">
        <v>80</v>
      </c>
      <c r="T24" s="23">
        <v>0</v>
      </c>
      <c r="U24" s="23">
        <f>COUNTIFS(TblMealFoods[NahrungsmittelId],TblFoods[[#This Row],[NahrungsmittelId]])</f>
        <v>0</v>
      </c>
    </row>
    <row r="25" spans="1:21" x14ac:dyDescent="0.35">
      <c r="A25" s="23">
        <v>65</v>
      </c>
      <c r="B25" s="23">
        <v>0</v>
      </c>
      <c r="C25" s="23">
        <v>0</v>
      </c>
      <c r="D25" s="23" t="s">
        <v>78</v>
      </c>
      <c r="E25" s="23" t="s">
        <v>78</v>
      </c>
      <c r="F25" s="23">
        <v>0</v>
      </c>
      <c r="G25" s="23" t="b">
        <v>0</v>
      </c>
      <c r="H25" s="23" t="b">
        <v>0</v>
      </c>
      <c r="I25" s="23" t="b">
        <v>0</v>
      </c>
      <c r="J25" s="23" t="s">
        <v>79</v>
      </c>
      <c r="K25" s="23" t="s">
        <v>28</v>
      </c>
      <c r="L25" s="23" t="s">
        <v>19</v>
      </c>
      <c r="M25" s="23" t="s">
        <v>72</v>
      </c>
      <c r="N25" s="23">
        <v>500</v>
      </c>
      <c r="O25" s="23">
        <v>0</v>
      </c>
      <c r="P25" s="23"/>
      <c r="Q25" s="23"/>
      <c r="R25" s="23"/>
      <c r="S25" s="23" t="s">
        <v>80</v>
      </c>
      <c r="T25" s="23">
        <v>0</v>
      </c>
      <c r="U25" s="23">
        <f>COUNTIFS(TblMealFoods[NahrungsmittelId],TblFoods[[#This Row],[NahrungsmittelId]])</f>
        <v>0</v>
      </c>
    </row>
    <row r="26" spans="1:21" x14ac:dyDescent="0.35">
      <c r="A26" s="23">
        <v>9</v>
      </c>
      <c r="B26" s="23">
        <v>2636623</v>
      </c>
      <c r="C26" s="23">
        <v>0</v>
      </c>
      <c r="D26" s="23" t="s">
        <v>78</v>
      </c>
      <c r="E26" s="23" t="s">
        <v>78</v>
      </c>
      <c r="F26" s="23">
        <v>0</v>
      </c>
      <c r="G26" s="23" t="b">
        <v>0</v>
      </c>
      <c r="H26" s="23" t="b">
        <v>0</v>
      </c>
      <c r="I26" s="23" t="b">
        <v>0</v>
      </c>
      <c r="J26" s="23" t="s">
        <v>79</v>
      </c>
      <c r="K26" s="23" t="s">
        <v>27</v>
      </c>
      <c r="L26" s="23" t="s">
        <v>9</v>
      </c>
      <c r="M26" s="23"/>
      <c r="N26" s="23">
        <v>0</v>
      </c>
      <c r="O26" s="23">
        <v>0</v>
      </c>
      <c r="P26" s="23"/>
      <c r="Q26" s="23"/>
      <c r="R26" s="23"/>
      <c r="S26" s="23" t="s">
        <v>80</v>
      </c>
      <c r="T26" s="23">
        <v>0</v>
      </c>
      <c r="U26" s="23">
        <f>COUNTIFS(TblMealFoods[NahrungsmittelId],TblFoods[[#This Row],[NahrungsmittelId]])</f>
        <v>0</v>
      </c>
    </row>
    <row r="27" spans="1:21" x14ac:dyDescent="0.35">
      <c r="A27" s="23">
        <v>33</v>
      </c>
      <c r="B27" s="23">
        <v>537176824</v>
      </c>
      <c r="C27" s="23">
        <v>0</v>
      </c>
      <c r="D27" s="23" t="s">
        <v>78</v>
      </c>
      <c r="E27" s="23" t="s">
        <v>78</v>
      </c>
      <c r="F27" s="23">
        <v>0</v>
      </c>
      <c r="G27" s="23" t="b">
        <v>0</v>
      </c>
      <c r="H27" s="23" t="b">
        <v>0</v>
      </c>
      <c r="I27" s="23" t="b">
        <v>0</v>
      </c>
      <c r="J27" s="23" t="s">
        <v>79</v>
      </c>
      <c r="K27" s="23" t="s">
        <v>52</v>
      </c>
      <c r="L27" s="23" t="s">
        <v>6</v>
      </c>
      <c r="M27" s="23"/>
      <c r="N27" s="23">
        <v>0</v>
      </c>
      <c r="O27" s="23">
        <v>0</v>
      </c>
      <c r="P27" s="23"/>
      <c r="Q27" s="23"/>
      <c r="R27" s="23"/>
      <c r="S27" s="23" t="s">
        <v>80</v>
      </c>
      <c r="T27" s="23">
        <v>0</v>
      </c>
      <c r="U27" s="23">
        <f>COUNTIFS(TblMealFoods[NahrungsmittelId],TblFoods[[#This Row],[NahrungsmittelId]])</f>
        <v>0</v>
      </c>
    </row>
    <row r="28" spans="1:21" x14ac:dyDescent="0.35">
      <c r="A28" s="23">
        <v>49</v>
      </c>
      <c r="B28" s="23">
        <v>537220581</v>
      </c>
      <c r="C28" s="23">
        <v>0</v>
      </c>
      <c r="D28" s="23" t="s">
        <v>78</v>
      </c>
      <c r="E28" s="23" t="s">
        <v>78</v>
      </c>
      <c r="F28" s="23">
        <v>0</v>
      </c>
      <c r="G28" s="23" t="b">
        <v>0</v>
      </c>
      <c r="H28" s="23" t="b">
        <v>0</v>
      </c>
      <c r="I28" s="23" t="b">
        <v>0</v>
      </c>
      <c r="J28" s="23" t="s">
        <v>79</v>
      </c>
      <c r="K28" s="23" t="s">
        <v>48</v>
      </c>
      <c r="L28" s="23" t="s">
        <v>30</v>
      </c>
      <c r="M28" s="23"/>
      <c r="N28" s="23">
        <v>0</v>
      </c>
      <c r="O28" s="23">
        <v>0</v>
      </c>
      <c r="P28" s="23"/>
      <c r="Q28" s="23"/>
      <c r="R28" s="23"/>
      <c r="S28" s="23" t="s">
        <v>80</v>
      </c>
      <c r="T28" s="23">
        <v>0</v>
      </c>
      <c r="U28" s="23">
        <f>COUNTIFS(TblMealFoods[NahrungsmittelId],TblFoods[[#This Row],[NahrungsmittelId]])</f>
        <v>0</v>
      </c>
    </row>
    <row r="29" spans="1:21" x14ac:dyDescent="0.35">
      <c r="A29" s="23">
        <v>11</v>
      </c>
      <c r="B29" s="23">
        <v>537117748</v>
      </c>
      <c r="C29" s="23">
        <v>0</v>
      </c>
      <c r="D29" s="23" t="s">
        <v>78</v>
      </c>
      <c r="E29" s="23" t="s">
        <v>78</v>
      </c>
      <c r="F29" s="23">
        <v>0</v>
      </c>
      <c r="G29" s="23" t="b">
        <v>0</v>
      </c>
      <c r="H29" s="23" t="b">
        <v>0</v>
      </c>
      <c r="I29" s="23" t="b">
        <v>0</v>
      </c>
      <c r="J29" s="23" t="s">
        <v>79</v>
      </c>
      <c r="K29" s="23" t="s">
        <v>43</v>
      </c>
      <c r="L29" s="23" t="s">
        <v>44</v>
      </c>
      <c r="M29" s="23"/>
      <c r="N29" s="23">
        <v>0</v>
      </c>
      <c r="O29" s="23">
        <v>0</v>
      </c>
      <c r="P29" s="23"/>
      <c r="Q29" s="23"/>
      <c r="R29" s="23"/>
      <c r="S29" s="23" t="s">
        <v>80</v>
      </c>
      <c r="T29" s="23">
        <v>0</v>
      </c>
      <c r="U29" s="23">
        <f>COUNTIFS(TblMealFoods[NahrungsmittelId],TblFoods[[#This Row],[NahrungsmittelId]])</f>
        <v>0</v>
      </c>
    </row>
    <row r="30" spans="1:21" x14ac:dyDescent="0.35">
      <c r="A30" s="23">
        <v>39</v>
      </c>
      <c r="B30" s="23">
        <v>743981530</v>
      </c>
      <c r="C30" s="23">
        <v>0</v>
      </c>
      <c r="D30" s="23" t="s">
        <v>78</v>
      </c>
      <c r="E30" s="23" t="s">
        <v>78</v>
      </c>
      <c r="F30" s="23">
        <v>0</v>
      </c>
      <c r="G30" s="23" t="b">
        <v>0</v>
      </c>
      <c r="H30" s="23" t="b">
        <v>0</v>
      </c>
      <c r="I30" s="23" t="b">
        <v>0</v>
      </c>
      <c r="J30" s="23" t="s">
        <v>79</v>
      </c>
      <c r="K30" s="23" t="s">
        <v>41</v>
      </c>
      <c r="L30" s="23" t="s">
        <v>6</v>
      </c>
      <c r="M30" s="23"/>
      <c r="N30" s="23">
        <v>0</v>
      </c>
      <c r="O30" s="23">
        <v>0</v>
      </c>
      <c r="P30" s="23"/>
      <c r="Q30" s="23"/>
      <c r="R30" s="23"/>
      <c r="S30" s="23" t="s">
        <v>80</v>
      </c>
      <c r="T30" s="23">
        <v>0</v>
      </c>
      <c r="U30" s="23">
        <f>COUNTIFS(TblMealFoods[NahrungsmittelId],TblFoods[[#This Row],[NahrungsmittelId]])</f>
        <v>0</v>
      </c>
    </row>
    <row r="31" spans="1:21" x14ac:dyDescent="0.35">
      <c r="A31" s="23">
        <v>59</v>
      </c>
      <c r="B31" s="23">
        <v>543397813</v>
      </c>
      <c r="C31" s="23">
        <v>0</v>
      </c>
      <c r="D31" s="23" t="s">
        <v>78</v>
      </c>
      <c r="E31" s="23" t="s">
        <v>78</v>
      </c>
      <c r="F31" s="23">
        <v>0</v>
      </c>
      <c r="G31" s="23" t="b">
        <v>0</v>
      </c>
      <c r="H31" s="23" t="b">
        <v>0</v>
      </c>
      <c r="I31" s="23" t="b">
        <v>0</v>
      </c>
      <c r="J31" s="23" t="s">
        <v>79</v>
      </c>
      <c r="K31" s="23" t="s">
        <v>32</v>
      </c>
      <c r="L31" s="23" t="s">
        <v>33</v>
      </c>
      <c r="M31" s="23"/>
      <c r="N31" s="23">
        <v>0</v>
      </c>
      <c r="O31" s="23">
        <v>0</v>
      </c>
      <c r="P31" s="23"/>
      <c r="Q31" s="23"/>
      <c r="R31" s="23"/>
      <c r="S31" s="23" t="s">
        <v>80</v>
      </c>
      <c r="T31" s="23">
        <v>0</v>
      </c>
      <c r="U31" s="23">
        <f>COUNTIFS(TblMealFoods[NahrungsmittelId],TblFoods[[#This Row],[NahrungsmittelId]])</f>
        <v>0</v>
      </c>
    </row>
    <row r="32" spans="1:21" x14ac:dyDescent="0.35">
      <c r="A32" s="23">
        <v>1</v>
      </c>
      <c r="B32" s="23">
        <v>2630408</v>
      </c>
      <c r="C32" s="23">
        <v>0</v>
      </c>
      <c r="D32" s="23" t="s">
        <v>78</v>
      </c>
      <c r="E32" s="23" t="s">
        <v>78</v>
      </c>
      <c r="F32" s="23">
        <v>0</v>
      </c>
      <c r="G32" s="23" t="b">
        <v>0</v>
      </c>
      <c r="H32" s="23" t="b">
        <v>0</v>
      </c>
      <c r="I32" s="23" t="b">
        <v>0</v>
      </c>
      <c r="J32" s="23" t="s">
        <v>79</v>
      </c>
      <c r="K32" s="23" t="s">
        <v>64</v>
      </c>
      <c r="L32" s="23" t="s">
        <v>9</v>
      </c>
      <c r="M32" s="23"/>
      <c r="N32" s="23">
        <v>0</v>
      </c>
      <c r="O32" s="23">
        <v>0</v>
      </c>
      <c r="P32" s="23"/>
      <c r="Q32" s="23"/>
      <c r="R32" s="23"/>
      <c r="S32" s="23" t="s">
        <v>80</v>
      </c>
      <c r="T32" s="23">
        <v>0</v>
      </c>
      <c r="U32" s="23">
        <f>COUNTIFS(TblMealFoods[NahrungsmittelId],TblFoods[[#This Row],[NahrungsmittelId]])</f>
        <v>0</v>
      </c>
    </row>
    <row r="33" spans="1:21" x14ac:dyDescent="0.35">
      <c r="A33" s="23">
        <v>13</v>
      </c>
      <c r="B33" s="23">
        <v>537121984</v>
      </c>
      <c r="C33" s="23">
        <v>0</v>
      </c>
      <c r="D33" s="23" t="s">
        <v>78</v>
      </c>
      <c r="E33" s="23" t="s">
        <v>78</v>
      </c>
      <c r="F33" s="23">
        <v>0</v>
      </c>
      <c r="G33" s="23" t="b">
        <v>0</v>
      </c>
      <c r="H33" s="23" t="b">
        <v>0</v>
      </c>
      <c r="I33" s="23" t="b">
        <v>0</v>
      </c>
      <c r="J33" s="23" t="s">
        <v>79</v>
      </c>
      <c r="K33" s="23" t="s">
        <v>59</v>
      </c>
      <c r="L33" s="23" t="s">
        <v>60</v>
      </c>
      <c r="M33" s="23"/>
      <c r="N33" s="23">
        <v>0</v>
      </c>
      <c r="O33" s="23">
        <v>0</v>
      </c>
      <c r="P33" s="23"/>
      <c r="Q33" s="23"/>
      <c r="R33" s="23"/>
      <c r="S33" s="23" t="s">
        <v>80</v>
      </c>
      <c r="T33" s="23">
        <v>0</v>
      </c>
      <c r="U33" s="23">
        <f>COUNTIFS(TblMealFoods[NahrungsmittelId],TblFoods[[#This Row],[NahrungsmittelId]])</f>
        <v>0</v>
      </c>
    </row>
    <row r="34" spans="1:21" x14ac:dyDescent="0.35">
      <c r="A34" s="23">
        <v>15</v>
      </c>
      <c r="B34" s="23">
        <v>537125878</v>
      </c>
      <c r="C34" s="23">
        <v>0</v>
      </c>
      <c r="D34" s="23" t="s">
        <v>78</v>
      </c>
      <c r="E34" s="23" t="s">
        <v>78</v>
      </c>
      <c r="F34" s="23">
        <v>0</v>
      </c>
      <c r="G34" s="23" t="b">
        <v>0</v>
      </c>
      <c r="H34" s="23" t="b">
        <v>0</v>
      </c>
      <c r="I34" s="23" t="b">
        <v>0</v>
      </c>
      <c r="J34" s="23" t="s">
        <v>79</v>
      </c>
      <c r="K34" s="23" t="s">
        <v>56</v>
      </c>
      <c r="L34" s="23" t="s">
        <v>6</v>
      </c>
      <c r="M34" s="23"/>
      <c r="N34" s="23">
        <v>0</v>
      </c>
      <c r="O34" s="23">
        <v>0</v>
      </c>
      <c r="P34" s="23"/>
      <c r="Q34" s="23"/>
      <c r="R34" s="23"/>
      <c r="S34" s="23" t="s">
        <v>80</v>
      </c>
      <c r="T34" s="23">
        <v>0</v>
      </c>
      <c r="U34" s="23">
        <f>COUNTIFS(TblMealFoods[NahrungsmittelId],TblFoods[[#This Row],[NahrungsmittelId]])</f>
        <v>0</v>
      </c>
    </row>
    <row r="35" spans="1:21" x14ac:dyDescent="0.35">
      <c r="A35" s="23">
        <v>16</v>
      </c>
      <c r="B35" s="23">
        <v>537127903</v>
      </c>
      <c r="C35" s="23">
        <v>0</v>
      </c>
      <c r="D35" s="23" t="s">
        <v>78</v>
      </c>
      <c r="E35" s="23" t="s">
        <v>78</v>
      </c>
      <c r="F35" s="23">
        <v>0</v>
      </c>
      <c r="G35" s="23" t="b">
        <v>0</v>
      </c>
      <c r="H35" s="23" t="b">
        <v>0</v>
      </c>
      <c r="I35" s="23" t="b">
        <v>0</v>
      </c>
      <c r="J35" s="23" t="s">
        <v>79</v>
      </c>
      <c r="K35" s="23" t="s">
        <v>39</v>
      </c>
      <c r="L35" s="23" t="s">
        <v>40</v>
      </c>
      <c r="M35" s="23"/>
      <c r="N35" s="23">
        <v>0</v>
      </c>
      <c r="O35" s="23">
        <v>0</v>
      </c>
      <c r="P35" s="23"/>
      <c r="Q35" s="23"/>
      <c r="R35" s="23"/>
      <c r="S35" s="23" t="s">
        <v>80</v>
      </c>
      <c r="T35" s="23">
        <v>0</v>
      </c>
      <c r="U35" s="23">
        <f>COUNTIFS(TblMealFoods[NahrungsmittelId],TblFoods[[#This Row],[NahrungsmittelId]])</f>
        <v>0</v>
      </c>
    </row>
    <row r="36" spans="1:21" x14ac:dyDescent="0.35">
      <c r="A36" s="23">
        <v>24</v>
      </c>
      <c r="B36" s="23">
        <v>537152338</v>
      </c>
      <c r="C36" s="23">
        <v>0</v>
      </c>
      <c r="D36" s="23" t="s">
        <v>78</v>
      </c>
      <c r="E36" s="23" t="s">
        <v>78</v>
      </c>
      <c r="F36" s="23">
        <v>0</v>
      </c>
      <c r="G36" s="23" t="b">
        <v>0</v>
      </c>
      <c r="H36" s="23" t="b">
        <v>0</v>
      </c>
      <c r="I36" s="23" t="b">
        <v>0</v>
      </c>
      <c r="J36" s="23" t="s">
        <v>79</v>
      </c>
      <c r="K36" s="23" t="s">
        <v>62</v>
      </c>
      <c r="L36" s="23" t="s">
        <v>63</v>
      </c>
      <c r="M36" s="23"/>
      <c r="N36" s="23">
        <v>0</v>
      </c>
      <c r="O36" s="23">
        <v>0</v>
      </c>
      <c r="P36" s="23"/>
      <c r="Q36" s="23"/>
      <c r="R36" s="23"/>
      <c r="S36" s="23" t="s">
        <v>80</v>
      </c>
      <c r="T36" s="23">
        <v>0</v>
      </c>
      <c r="U36" s="23">
        <f>COUNTIFS(TblMealFoods[NahrungsmittelId],TblFoods[[#This Row],[NahrungsmittelId]])</f>
        <v>0</v>
      </c>
    </row>
    <row r="37" spans="1:21" x14ac:dyDescent="0.35">
      <c r="A37" s="23">
        <v>25</v>
      </c>
      <c r="B37" s="23">
        <v>537154612</v>
      </c>
      <c r="C37" s="23">
        <v>0</v>
      </c>
      <c r="D37" s="23" t="s">
        <v>78</v>
      </c>
      <c r="E37" s="23" t="s">
        <v>78</v>
      </c>
      <c r="F37" s="23">
        <v>0</v>
      </c>
      <c r="G37" s="23" t="b">
        <v>0</v>
      </c>
      <c r="H37" s="23" t="b">
        <v>0</v>
      </c>
      <c r="I37" s="23" t="b">
        <v>0</v>
      </c>
      <c r="J37" s="23" t="s">
        <v>79</v>
      </c>
      <c r="K37" s="23" t="s">
        <v>26</v>
      </c>
      <c r="L37" s="23" t="s">
        <v>9</v>
      </c>
      <c r="M37" s="23"/>
      <c r="N37" s="23">
        <v>0</v>
      </c>
      <c r="O37" s="23">
        <v>0</v>
      </c>
      <c r="P37" s="23"/>
      <c r="Q37" s="23"/>
      <c r="R37" s="23"/>
      <c r="S37" s="23" t="s">
        <v>80</v>
      </c>
      <c r="T37" s="23">
        <v>0</v>
      </c>
      <c r="U37" s="23">
        <f>COUNTIFS(TblMealFoods[NahrungsmittelId],TblFoods[[#This Row],[NahrungsmittelId]])</f>
        <v>0</v>
      </c>
    </row>
    <row r="38" spans="1:21" x14ac:dyDescent="0.35">
      <c r="A38" s="23">
        <v>37</v>
      </c>
      <c r="B38" s="23">
        <v>537192350</v>
      </c>
      <c r="C38" s="23">
        <v>0</v>
      </c>
      <c r="D38" s="23" t="s">
        <v>78</v>
      </c>
      <c r="E38" s="23" t="s">
        <v>78</v>
      </c>
      <c r="F38" s="23">
        <v>0</v>
      </c>
      <c r="G38" s="23" t="b">
        <v>0</v>
      </c>
      <c r="H38" s="23" t="b">
        <v>0</v>
      </c>
      <c r="I38" s="23" t="b">
        <v>0</v>
      </c>
      <c r="J38" s="23" t="s">
        <v>79</v>
      </c>
      <c r="K38" s="23" t="s">
        <v>42</v>
      </c>
      <c r="L38" s="23" t="s">
        <v>9</v>
      </c>
      <c r="M38" s="23"/>
      <c r="N38" s="23">
        <v>0</v>
      </c>
      <c r="O38" s="23">
        <v>0</v>
      </c>
      <c r="P38" s="23"/>
      <c r="Q38" s="23"/>
      <c r="R38" s="23"/>
      <c r="S38" s="23" t="s">
        <v>80</v>
      </c>
      <c r="T38" s="23">
        <v>0</v>
      </c>
      <c r="U38" s="23">
        <f>COUNTIFS(TblMealFoods[NahrungsmittelId],TblFoods[[#This Row],[NahrungsmittelId]])</f>
        <v>0</v>
      </c>
    </row>
    <row r="39" spans="1:21" x14ac:dyDescent="0.35">
      <c r="A39" s="23">
        <v>38</v>
      </c>
      <c r="B39" s="23">
        <v>537192829</v>
      </c>
      <c r="C39" s="23">
        <v>0</v>
      </c>
      <c r="D39" s="23" t="s">
        <v>78</v>
      </c>
      <c r="E39" s="23" t="s">
        <v>78</v>
      </c>
      <c r="F39" s="23">
        <v>0</v>
      </c>
      <c r="G39" s="23" t="b">
        <v>0</v>
      </c>
      <c r="H39" s="23" t="b">
        <v>0</v>
      </c>
      <c r="I39" s="23" t="b">
        <v>0</v>
      </c>
      <c r="J39" s="23" t="s">
        <v>79</v>
      </c>
      <c r="K39" s="23" t="s">
        <v>65</v>
      </c>
      <c r="L39" s="23" t="s">
        <v>66</v>
      </c>
      <c r="M39" s="23"/>
      <c r="N39" s="23">
        <v>0</v>
      </c>
      <c r="O39" s="23">
        <v>0</v>
      </c>
      <c r="P39" s="23"/>
      <c r="Q39" s="23"/>
      <c r="R39" s="23"/>
      <c r="S39" s="23" t="s">
        <v>80</v>
      </c>
      <c r="T39" s="23">
        <v>0</v>
      </c>
      <c r="U39" s="23">
        <f>COUNTIFS(TblMealFoods[NahrungsmittelId],TblFoods[[#This Row],[NahrungsmittelId]])</f>
        <v>0</v>
      </c>
    </row>
    <row r="40" spans="1:21" x14ac:dyDescent="0.35">
      <c r="A40" s="23">
        <v>45</v>
      </c>
      <c r="B40" s="23">
        <v>788572697</v>
      </c>
      <c r="C40" s="23">
        <v>0</v>
      </c>
      <c r="D40" s="23" t="s">
        <v>78</v>
      </c>
      <c r="E40" s="23" t="s">
        <v>78</v>
      </c>
      <c r="F40" s="23">
        <v>0</v>
      </c>
      <c r="G40" s="23" t="b">
        <v>0</v>
      </c>
      <c r="H40" s="23" t="b">
        <v>0</v>
      </c>
      <c r="I40" s="23" t="b">
        <v>0</v>
      </c>
      <c r="J40" s="23" t="s">
        <v>79</v>
      </c>
      <c r="K40" s="23" t="s">
        <v>20</v>
      </c>
      <c r="L40" s="23" t="s">
        <v>21</v>
      </c>
      <c r="M40" s="23"/>
      <c r="N40" s="23">
        <v>0</v>
      </c>
      <c r="O40" s="23">
        <v>0</v>
      </c>
      <c r="P40" s="23"/>
      <c r="Q40" s="23"/>
      <c r="R40" s="23"/>
      <c r="S40" s="23" t="s">
        <v>80</v>
      </c>
      <c r="T40" s="23">
        <v>0</v>
      </c>
      <c r="U40" s="23">
        <f>COUNTIFS(TblMealFoods[NahrungsmittelId],TblFoods[[#This Row],[NahrungsmittelId]])</f>
        <v>0</v>
      </c>
    </row>
    <row r="41" spans="1:21" x14ac:dyDescent="0.35">
      <c r="A41" s="23">
        <v>50</v>
      </c>
      <c r="B41" s="23">
        <v>537225631</v>
      </c>
      <c r="C41" s="23">
        <v>0</v>
      </c>
      <c r="D41" s="23" t="s">
        <v>78</v>
      </c>
      <c r="E41" s="23" t="s">
        <v>78</v>
      </c>
      <c r="F41" s="23">
        <v>0</v>
      </c>
      <c r="G41" s="23" t="b">
        <v>0</v>
      </c>
      <c r="H41" s="23" t="b">
        <v>0</v>
      </c>
      <c r="I41" s="23" t="b">
        <v>0</v>
      </c>
      <c r="J41" s="23" t="s">
        <v>79</v>
      </c>
      <c r="K41" s="23" t="s">
        <v>47</v>
      </c>
      <c r="L41" s="23" t="s">
        <v>9</v>
      </c>
      <c r="M41" s="23"/>
      <c r="N41" s="23">
        <v>0</v>
      </c>
      <c r="O41" s="23">
        <v>0</v>
      </c>
      <c r="P41" s="23"/>
      <c r="Q41" s="23"/>
      <c r="R41" s="23"/>
      <c r="S41" s="23" t="s">
        <v>80</v>
      </c>
      <c r="T41" s="23">
        <v>0</v>
      </c>
      <c r="U41" s="23">
        <f>COUNTIFS(TblMealFoods[NahrungsmittelId],TblFoods[[#This Row],[NahrungsmittelId]])</f>
        <v>0</v>
      </c>
    </row>
    <row r="42" spans="1:21" x14ac:dyDescent="0.35">
      <c r="A42" s="23">
        <v>51</v>
      </c>
      <c r="B42" s="23">
        <v>537232011</v>
      </c>
      <c r="C42" s="23">
        <v>0</v>
      </c>
      <c r="D42" s="23" t="s">
        <v>78</v>
      </c>
      <c r="E42" s="23" t="s">
        <v>78</v>
      </c>
      <c r="F42" s="23">
        <v>0</v>
      </c>
      <c r="G42" s="23" t="b">
        <v>0</v>
      </c>
      <c r="H42" s="23" t="b">
        <v>0</v>
      </c>
      <c r="I42" s="23" t="b">
        <v>0</v>
      </c>
      <c r="J42" s="23" t="s">
        <v>79</v>
      </c>
      <c r="K42" s="23" t="s">
        <v>37</v>
      </c>
      <c r="L42" s="23" t="s">
        <v>9</v>
      </c>
      <c r="M42" s="23"/>
      <c r="N42" s="23">
        <v>0</v>
      </c>
      <c r="O42" s="23">
        <v>0</v>
      </c>
      <c r="P42" s="23"/>
      <c r="Q42" s="23"/>
      <c r="R42" s="23"/>
      <c r="S42" s="23" t="s">
        <v>80</v>
      </c>
      <c r="T42" s="23">
        <v>0</v>
      </c>
      <c r="U42" s="23">
        <f>COUNTIFS(TblMealFoods[NahrungsmittelId],TblFoods[[#This Row],[NahrungsmittelId]])</f>
        <v>0</v>
      </c>
    </row>
    <row r="43" spans="1:21" x14ac:dyDescent="0.35">
      <c r="A43" s="23">
        <v>52</v>
      </c>
      <c r="B43" s="23">
        <v>537232091</v>
      </c>
      <c r="C43" s="23">
        <v>0</v>
      </c>
      <c r="D43" s="23" t="s">
        <v>78</v>
      </c>
      <c r="E43" s="23" t="s">
        <v>78</v>
      </c>
      <c r="F43" s="23">
        <v>0</v>
      </c>
      <c r="G43" s="23" t="b">
        <v>0</v>
      </c>
      <c r="H43" s="23" t="b">
        <v>0</v>
      </c>
      <c r="I43" s="23" t="b">
        <v>0</v>
      </c>
      <c r="J43" s="23" t="s">
        <v>79</v>
      </c>
      <c r="K43" s="23" t="s">
        <v>36</v>
      </c>
      <c r="L43" s="23" t="s">
        <v>9</v>
      </c>
      <c r="M43" s="23"/>
      <c r="N43" s="23">
        <v>0</v>
      </c>
      <c r="O43" s="23">
        <v>0</v>
      </c>
      <c r="P43" s="23"/>
      <c r="Q43" s="23"/>
      <c r="R43" s="23"/>
      <c r="S43" s="23" t="s">
        <v>80</v>
      </c>
      <c r="T43" s="23">
        <v>0</v>
      </c>
      <c r="U43" s="23">
        <f>COUNTIFS(TblMealFoods[NahrungsmittelId],TblFoods[[#This Row],[NahrungsmittelId]])</f>
        <v>0</v>
      </c>
    </row>
    <row r="44" spans="1:21" x14ac:dyDescent="0.35">
      <c r="A44" s="23">
        <v>56</v>
      </c>
      <c r="B44" s="23">
        <v>539663881</v>
      </c>
      <c r="C44" s="23">
        <v>0</v>
      </c>
      <c r="D44" s="23" t="s">
        <v>78</v>
      </c>
      <c r="E44" s="23" t="s">
        <v>78</v>
      </c>
      <c r="F44" s="23">
        <v>0</v>
      </c>
      <c r="G44" s="23" t="b">
        <v>0</v>
      </c>
      <c r="H44" s="23" t="b">
        <v>0</v>
      </c>
      <c r="I44" s="23" t="b">
        <v>0</v>
      </c>
      <c r="J44" s="23" t="s">
        <v>79</v>
      </c>
      <c r="K44" s="23" t="s">
        <v>53</v>
      </c>
      <c r="L44" s="23" t="s">
        <v>6</v>
      </c>
      <c r="M44" s="23"/>
      <c r="N44" s="23">
        <v>0</v>
      </c>
      <c r="O44" s="23">
        <v>0</v>
      </c>
      <c r="P44" s="23"/>
      <c r="Q44" s="23"/>
      <c r="R44" s="23"/>
      <c r="S44" s="23" t="s">
        <v>80</v>
      </c>
      <c r="T44" s="23">
        <v>0</v>
      </c>
      <c r="U44" s="23">
        <f>COUNTIFS(TblMealFoods[NahrungsmittelId],TblFoods[[#This Row],[NahrungsmittelId]])</f>
        <v>0</v>
      </c>
    </row>
    <row r="45" spans="1:21" x14ac:dyDescent="0.35">
      <c r="A45" s="23">
        <v>57</v>
      </c>
      <c r="B45" s="23">
        <v>539665901</v>
      </c>
      <c r="C45" s="23">
        <v>0</v>
      </c>
      <c r="D45" s="23" t="s">
        <v>78</v>
      </c>
      <c r="E45" s="23" t="s">
        <v>78</v>
      </c>
      <c r="F45" s="23">
        <v>0</v>
      </c>
      <c r="G45" s="23" t="b">
        <v>0</v>
      </c>
      <c r="H45" s="23" t="b">
        <v>0</v>
      </c>
      <c r="I45" s="23" t="b">
        <v>0</v>
      </c>
      <c r="J45" s="23" t="s">
        <v>79</v>
      </c>
      <c r="K45" s="23" t="s">
        <v>57</v>
      </c>
      <c r="L45" s="23" t="s">
        <v>19</v>
      </c>
      <c r="M45" s="23"/>
      <c r="N45" s="23">
        <v>0</v>
      </c>
      <c r="O45" s="23">
        <v>0</v>
      </c>
      <c r="P45" s="23"/>
      <c r="Q45" s="23"/>
      <c r="R45" s="23"/>
      <c r="S45" s="23" t="s">
        <v>80</v>
      </c>
      <c r="T45" s="23">
        <v>0</v>
      </c>
      <c r="U45" s="23">
        <f>COUNTIFS(TblMealFoods[NahrungsmittelId],TblFoods[[#This Row],[NahrungsmittelId]])</f>
        <v>0</v>
      </c>
    </row>
    <row r="46" spans="1:21" x14ac:dyDescent="0.35">
      <c r="A46" s="23">
        <v>63</v>
      </c>
      <c r="B46" s="23">
        <v>728138332</v>
      </c>
      <c r="C46" s="23">
        <v>0</v>
      </c>
      <c r="D46" s="23" t="s">
        <v>78</v>
      </c>
      <c r="E46" s="23" t="s">
        <v>78</v>
      </c>
      <c r="F46" s="23">
        <v>0</v>
      </c>
      <c r="G46" s="23" t="b">
        <v>0</v>
      </c>
      <c r="H46" s="23" t="b">
        <v>0</v>
      </c>
      <c r="I46" s="23" t="b">
        <v>0</v>
      </c>
      <c r="J46" s="23" t="s">
        <v>79</v>
      </c>
      <c r="K46" s="23" t="s">
        <v>49</v>
      </c>
      <c r="L46" s="23" t="s">
        <v>50</v>
      </c>
      <c r="M46" s="23"/>
      <c r="N46" s="23">
        <v>0</v>
      </c>
      <c r="O46" s="23">
        <v>0</v>
      </c>
      <c r="P46" s="23"/>
      <c r="Q46" s="23"/>
      <c r="R46" s="23"/>
      <c r="S46" s="23" t="s">
        <v>80</v>
      </c>
      <c r="T46" s="23">
        <v>0</v>
      </c>
      <c r="U46" s="23">
        <f>COUNTIFS(TblMealFoods[NahrungsmittelId],TblFoods[[#This Row],[NahrungsmittelId]])</f>
        <v>0</v>
      </c>
    </row>
    <row r="47" spans="1:21" x14ac:dyDescent="0.35">
      <c r="A47" s="23">
        <v>64</v>
      </c>
      <c r="B47" s="23">
        <v>737305126</v>
      </c>
      <c r="C47" s="23">
        <v>0</v>
      </c>
      <c r="D47" s="23" t="s">
        <v>78</v>
      </c>
      <c r="E47" s="23" t="s">
        <v>78</v>
      </c>
      <c r="F47" s="23">
        <v>0</v>
      </c>
      <c r="G47" s="23" t="b">
        <v>0</v>
      </c>
      <c r="H47" s="23" t="b">
        <v>0</v>
      </c>
      <c r="I47" s="23" t="b">
        <v>0</v>
      </c>
      <c r="J47" s="23" t="s">
        <v>79</v>
      </c>
      <c r="K47" s="23" t="s">
        <v>61</v>
      </c>
      <c r="L47" s="23" t="s">
        <v>3</v>
      </c>
      <c r="M47" s="23"/>
      <c r="N47" s="23">
        <v>0</v>
      </c>
      <c r="O47" s="23">
        <v>0</v>
      </c>
      <c r="P47" s="23"/>
      <c r="Q47" s="23"/>
      <c r="R47" s="23"/>
      <c r="S47" s="23" t="s">
        <v>80</v>
      </c>
      <c r="T47" s="23">
        <v>0</v>
      </c>
      <c r="U47" s="23">
        <f>COUNTIFS(TblMealFoods[NahrungsmittelId],TblFoods[[#This Row],[NahrungsmittelId]])</f>
        <v>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D64C1-24D8-4D8B-803C-5D1AFA19DDF3}">
  <sheetPr codeName="Tabelle8">
    <tabColor theme="9" tint="0.59999389629810485"/>
  </sheetPr>
  <dimension ref="A1:L48"/>
  <sheetViews>
    <sheetView workbookViewId="0">
      <selection activeCell="B49" sqref="B49"/>
    </sheetView>
  </sheetViews>
  <sheetFormatPr baseColWidth="10" defaultRowHeight="14.5" x14ac:dyDescent="0.35"/>
  <cols>
    <col min="1" max="1" width="17.453125" style="28" customWidth="1"/>
    <col min="2" max="2" width="18.453125" customWidth="1"/>
    <col min="3" max="4" width="16.26953125" customWidth="1"/>
    <col min="5" max="6" width="15.54296875" customWidth="1"/>
    <col min="7" max="7" width="10" customWidth="1"/>
    <col min="8" max="9" width="15.1796875" customWidth="1"/>
    <col min="10" max="10" width="8.453125" customWidth="1"/>
    <col min="11" max="12" width="13.26953125" customWidth="1"/>
  </cols>
  <sheetData>
    <row r="1" spans="1:12" x14ac:dyDescent="0.35">
      <c r="A1" s="22" t="s">
        <v>0</v>
      </c>
      <c r="B1" s="19" t="s">
        <v>97</v>
      </c>
      <c r="C1" s="19" t="s">
        <v>89</v>
      </c>
      <c r="D1" s="19" t="s">
        <v>108</v>
      </c>
      <c r="E1" s="19" t="s">
        <v>90</v>
      </c>
      <c r="F1" s="19" t="s">
        <v>109</v>
      </c>
      <c r="G1" s="19" t="s">
        <v>91</v>
      </c>
      <c r="H1" s="19" t="s">
        <v>92</v>
      </c>
      <c r="I1" s="19" t="s">
        <v>93</v>
      </c>
      <c r="J1" s="19" t="s">
        <v>94</v>
      </c>
      <c r="K1" s="19" t="s">
        <v>95</v>
      </c>
      <c r="L1" s="19" t="s">
        <v>96</v>
      </c>
    </row>
    <row r="2" spans="1:12" x14ac:dyDescent="0.35">
      <c r="A2" s="23" t="str">
        <f>Rohdaten_LebensmittelEinheiten!$B2&amp;Rohdaten_LebensmittelEinheiten!$C2</f>
        <v>1ml</v>
      </c>
      <c r="B2" s="1">
        <v>1</v>
      </c>
      <c r="C2" s="1" t="s">
        <v>4</v>
      </c>
      <c r="D2" s="1" t="b">
        <v>0</v>
      </c>
      <c r="E2" s="1">
        <v>100</v>
      </c>
      <c r="F2" s="1">
        <v>0</v>
      </c>
      <c r="G2" s="1">
        <v>41.8</v>
      </c>
      <c r="H2" s="1">
        <v>0</v>
      </c>
      <c r="I2" s="1">
        <v>11.4</v>
      </c>
      <c r="J2" s="1">
        <v>0</v>
      </c>
      <c r="K2" s="1">
        <v>0</v>
      </c>
      <c r="L2" s="1">
        <v>0</v>
      </c>
    </row>
    <row r="3" spans="1:12" x14ac:dyDescent="0.35">
      <c r="A3" s="23" t="str">
        <f>Rohdaten_LebensmittelEinheiten!$B3&amp;Rohdaten_LebensmittelEinheiten!$C3</f>
        <v>2Gramm</v>
      </c>
      <c r="B3" s="2">
        <v>2</v>
      </c>
      <c r="C3" s="2" t="s">
        <v>7</v>
      </c>
      <c r="D3" s="2" t="b">
        <v>0</v>
      </c>
      <c r="E3" s="2">
        <v>100</v>
      </c>
      <c r="F3" s="2">
        <v>0</v>
      </c>
      <c r="G3" s="2">
        <v>160</v>
      </c>
      <c r="H3" s="2">
        <v>2</v>
      </c>
      <c r="I3" s="2">
        <v>8.5</v>
      </c>
      <c r="J3" s="2">
        <v>0</v>
      </c>
      <c r="K3" s="2">
        <v>14.7</v>
      </c>
      <c r="L3" s="2">
        <v>0</v>
      </c>
    </row>
    <row r="4" spans="1:12" x14ac:dyDescent="0.35">
      <c r="A4" s="23" t="str">
        <f>Rohdaten_LebensmittelEinheiten!$B4&amp;Rohdaten_LebensmittelEinheiten!$C4</f>
        <v>3Gramm</v>
      </c>
      <c r="B4" s="1">
        <v>3</v>
      </c>
      <c r="C4" s="1" t="s">
        <v>7</v>
      </c>
      <c r="D4" s="1" t="b">
        <v>0</v>
      </c>
      <c r="E4" s="1">
        <v>100</v>
      </c>
      <c r="F4" s="1">
        <v>0</v>
      </c>
      <c r="G4" s="1">
        <v>245</v>
      </c>
      <c r="H4" s="1">
        <v>23.3</v>
      </c>
      <c r="I4" s="1">
        <v>0</v>
      </c>
      <c r="J4" s="1">
        <v>0</v>
      </c>
      <c r="K4" s="1">
        <v>17</v>
      </c>
      <c r="L4" s="1">
        <v>0</v>
      </c>
    </row>
    <row r="5" spans="1:12" x14ac:dyDescent="0.35">
      <c r="A5" s="23" t="str">
        <f>Rohdaten_LebensmittelEinheiten!$B5&amp;Rohdaten_LebensmittelEinheiten!$C5</f>
        <v>65Gramm</v>
      </c>
      <c r="B5" s="2">
        <v>65</v>
      </c>
      <c r="C5" s="2" t="s">
        <v>7</v>
      </c>
      <c r="D5" s="2" t="b">
        <v>0</v>
      </c>
      <c r="E5" s="2">
        <v>100</v>
      </c>
      <c r="F5" s="2">
        <v>0</v>
      </c>
      <c r="G5" s="2">
        <v>68</v>
      </c>
      <c r="H5" s="2">
        <v>12</v>
      </c>
      <c r="I5" s="2">
        <v>4</v>
      </c>
      <c r="J5" s="2">
        <v>4</v>
      </c>
      <c r="K5" s="2">
        <v>0.3</v>
      </c>
      <c r="L5" s="2">
        <v>0</v>
      </c>
    </row>
    <row r="6" spans="1:12" x14ac:dyDescent="0.35">
      <c r="A6" s="23" t="str">
        <f>Rohdaten_LebensmittelEinheiten!$B6&amp;Rohdaten_LebensmittelEinheiten!$C6</f>
        <v>5Gramm</v>
      </c>
      <c r="B6" s="1">
        <v>5</v>
      </c>
      <c r="C6" s="1" t="s">
        <v>7</v>
      </c>
      <c r="D6" s="1" t="b">
        <v>0</v>
      </c>
      <c r="E6" s="1">
        <v>100</v>
      </c>
      <c r="F6" s="1">
        <v>0</v>
      </c>
      <c r="G6" s="1">
        <v>138</v>
      </c>
      <c r="H6" s="1">
        <v>3.5</v>
      </c>
      <c r="I6" s="1">
        <v>25.7</v>
      </c>
      <c r="J6" s="1">
        <v>0</v>
      </c>
      <c r="K6" s="1">
        <v>7.7</v>
      </c>
      <c r="L6" s="1">
        <v>0</v>
      </c>
    </row>
    <row r="7" spans="1:12" x14ac:dyDescent="0.35">
      <c r="A7" s="23" t="str">
        <f>Rohdaten_LebensmittelEinheiten!$B7&amp;Rohdaten_LebensmittelEinheiten!$C7</f>
        <v>8Gramm</v>
      </c>
      <c r="B7" s="2">
        <v>8</v>
      </c>
      <c r="C7" s="2" t="s">
        <v>7</v>
      </c>
      <c r="D7" s="2" t="b">
        <v>0</v>
      </c>
      <c r="E7" s="2">
        <v>100</v>
      </c>
      <c r="F7" s="2">
        <v>0</v>
      </c>
      <c r="G7" s="2">
        <v>163</v>
      </c>
      <c r="H7" s="2">
        <v>3.5</v>
      </c>
      <c r="I7" s="2">
        <v>35.9</v>
      </c>
      <c r="J7" s="2">
        <v>0</v>
      </c>
      <c r="K7" s="2">
        <v>1.2</v>
      </c>
      <c r="L7" s="2">
        <v>0</v>
      </c>
    </row>
    <row r="8" spans="1:12" x14ac:dyDescent="0.35">
      <c r="A8" s="23" t="str">
        <f>Rohdaten_LebensmittelEinheiten!$B8&amp;Rohdaten_LebensmittelEinheiten!$C8</f>
        <v>9Gramm</v>
      </c>
      <c r="B8" s="1">
        <v>9</v>
      </c>
      <c r="C8" s="1" t="s">
        <v>7</v>
      </c>
      <c r="D8" s="1" t="b">
        <v>0</v>
      </c>
      <c r="E8" s="1">
        <v>100</v>
      </c>
      <c r="F8" s="1">
        <v>0</v>
      </c>
      <c r="G8" s="1">
        <v>69</v>
      </c>
      <c r="H8" s="1">
        <v>2.2000000000000002</v>
      </c>
      <c r="I8" s="1">
        <v>14.2</v>
      </c>
      <c r="J8" s="1">
        <v>0</v>
      </c>
      <c r="K8" s="1">
        <v>0.3</v>
      </c>
      <c r="L8" s="1">
        <v>0</v>
      </c>
    </row>
    <row r="9" spans="1:12" x14ac:dyDescent="0.35">
      <c r="A9" s="23" t="str">
        <f>Rohdaten_LebensmittelEinheiten!$B9&amp;Rohdaten_LebensmittelEinheiten!$C9</f>
        <v>10Gramm</v>
      </c>
      <c r="B9" s="2">
        <v>10</v>
      </c>
      <c r="C9" s="2" t="s">
        <v>7</v>
      </c>
      <c r="D9" s="2" t="b">
        <v>0</v>
      </c>
      <c r="E9" s="2">
        <v>100</v>
      </c>
      <c r="F9" s="2">
        <v>0</v>
      </c>
      <c r="G9" s="2">
        <v>354</v>
      </c>
      <c r="H9" s="2">
        <v>2</v>
      </c>
      <c r="I9" s="2">
        <v>86</v>
      </c>
      <c r="J9" s="2">
        <v>0</v>
      </c>
      <c r="K9" s="2">
        <v>0.2</v>
      </c>
      <c r="L9" s="2">
        <v>0</v>
      </c>
    </row>
    <row r="10" spans="1:12" x14ac:dyDescent="0.35">
      <c r="A10" s="23" t="str">
        <f>Rohdaten_LebensmittelEinheiten!$B10&amp;Rohdaten_LebensmittelEinheiten!$C10</f>
        <v>11Riegel</v>
      </c>
      <c r="B10" s="1">
        <v>11</v>
      </c>
      <c r="C10" s="1" t="s">
        <v>45</v>
      </c>
      <c r="D10" s="1" t="b">
        <v>0</v>
      </c>
      <c r="E10" s="1">
        <v>1</v>
      </c>
      <c r="F10" s="1">
        <v>0</v>
      </c>
      <c r="G10" s="1">
        <v>123</v>
      </c>
      <c r="H10" s="1">
        <v>2</v>
      </c>
      <c r="I10" s="1">
        <v>10.6</v>
      </c>
      <c r="J10" s="1">
        <v>0</v>
      </c>
      <c r="K10" s="1">
        <v>8</v>
      </c>
      <c r="L10" s="1">
        <v>0</v>
      </c>
    </row>
    <row r="11" spans="1:12" x14ac:dyDescent="0.35">
      <c r="A11" s="23" t="str">
        <f>Rohdaten_LebensmittelEinheiten!$B11&amp;Rohdaten_LebensmittelEinheiten!$C11</f>
        <v>12döner</v>
      </c>
      <c r="B11" s="2">
        <v>12</v>
      </c>
      <c r="C11" s="2" t="s">
        <v>15</v>
      </c>
      <c r="D11" s="2" t="b">
        <v>0</v>
      </c>
      <c r="E11" s="2">
        <v>1</v>
      </c>
      <c r="F11" s="2">
        <v>0</v>
      </c>
      <c r="G11" s="2">
        <v>620</v>
      </c>
      <c r="H11" s="2">
        <v>37.9</v>
      </c>
      <c r="I11" s="2">
        <v>77.099999999999994</v>
      </c>
      <c r="J11" s="2">
        <v>0</v>
      </c>
      <c r="K11" s="2">
        <v>16.600000000000001</v>
      </c>
      <c r="L11" s="2">
        <v>0</v>
      </c>
    </row>
    <row r="12" spans="1:12" x14ac:dyDescent="0.35">
      <c r="A12" s="23" t="str">
        <f>Rohdaten_LebensmittelEinheiten!$B12&amp;Rohdaten_LebensmittelEinheiten!$C12</f>
        <v>13Gramm</v>
      </c>
      <c r="B12" s="1">
        <v>13</v>
      </c>
      <c r="C12" s="1" t="s">
        <v>7</v>
      </c>
      <c r="D12" s="1" t="b">
        <v>0</v>
      </c>
      <c r="E12" s="1">
        <v>100</v>
      </c>
      <c r="F12" s="1">
        <v>0</v>
      </c>
      <c r="G12" s="1">
        <v>336</v>
      </c>
      <c r="H12" s="1">
        <v>4.9000000000000004</v>
      </c>
      <c r="I12" s="1">
        <v>80</v>
      </c>
      <c r="J12" s="1">
        <v>0</v>
      </c>
      <c r="K12" s="1">
        <v>0.2</v>
      </c>
      <c r="L12" s="1">
        <v>0</v>
      </c>
    </row>
    <row r="13" spans="1:12" x14ac:dyDescent="0.35">
      <c r="A13" s="23" t="str">
        <f>Rohdaten_LebensmittelEinheiten!$B13&amp;Rohdaten_LebensmittelEinheiten!$C13</f>
        <v>15Gramm</v>
      </c>
      <c r="B13" s="2">
        <v>15</v>
      </c>
      <c r="C13" s="2" t="s">
        <v>7</v>
      </c>
      <c r="D13" s="2" t="b">
        <v>0</v>
      </c>
      <c r="E13" s="2">
        <v>100</v>
      </c>
      <c r="F13" s="2">
        <v>0</v>
      </c>
      <c r="G13" s="2">
        <v>351.6</v>
      </c>
      <c r="H13" s="2">
        <v>8</v>
      </c>
      <c r="I13" s="2">
        <v>78</v>
      </c>
      <c r="J13" s="2">
        <v>0</v>
      </c>
      <c r="K13" s="2">
        <v>0.6</v>
      </c>
      <c r="L13" s="2">
        <v>0</v>
      </c>
    </row>
    <row r="14" spans="1:12" x14ac:dyDescent="0.35">
      <c r="A14" s="23" t="str">
        <f>Rohdaten_LebensmittelEinheiten!$B14&amp;Rohdaten_LebensmittelEinheiten!$C14</f>
        <v>16Gramm</v>
      </c>
      <c r="B14" s="1">
        <v>16</v>
      </c>
      <c r="C14" s="1" t="s">
        <v>7</v>
      </c>
      <c r="D14" s="1" t="b">
        <v>0</v>
      </c>
      <c r="E14" s="1">
        <v>100</v>
      </c>
      <c r="F14" s="1">
        <v>0</v>
      </c>
      <c r="G14" s="1">
        <v>273</v>
      </c>
      <c r="H14" s="1">
        <v>11.5</v>
      </c>
      <c r="I14" s="1">
        <v>27.4</v>
      </c>
      <c r="J14" s="1">
        <v>0</v>
      </c>
      <c r="K14" s="1">
        <v>12.6</v>
      </c>
      <c r="L14" s="1">
        <v>0</v>
      </c>
    </row>
    <row r="15" spans="1:12" x14ac:dyDescent="0.35">
      <c r="A15" s="23" t="str">
        <f>Rohdaten_LebensmittelEinheiten!$B15&amp;Rohdaten_LebensmittelEinheiten!$C15</f>
        <v>18ml</v>
      </c>
      <c r="B15" s="2">
        <v>18</v>
      </c>
      <c r="C15" s="2" t="s">
        <v>4</v>
      </c>
      <c r="D15" s="2" t="b">
        <v>0</v>
      </c>
      <c r="E15" s="2">
        <v>100</v>
      </c>
      <c r="F15" s="2">
        <v>0</v>
      </c>
      <c r="G15" s="2">
        <v>36</v>
      </c>
      <c r="H15" s="2">
        <v>0</v>
      </c>
      <c r="I15" s="2">
        <v>9.1</v>
      </c>
      <c r="J15" s="2">
        <v>0</v>
      </c>
      <c r="K15" s="2">
        <v>0</v>
      </c>
      <c r="L15" s="2">
        <v>0</v>
      </c>
    </row>
    <row r="16" spans="1:12" x14ac:dyDescent="0.35">
      <c r="A16" s="23" t="str">
        <f>Rohdaten_LebensmittelEinheiten!$B16&amp;Rohdaten_LebensmittelEinheiten!$C16</f>
        <v>21Gramm</v>
      </c>
      <c r="B16" s="1">
        <v>21</v>
      </c>
      <c r="C16" s="1" t="s">
        <v>7</v>
      </c>
      <c r="D16" s="1" t="b">
        <v>0</v>
      </c>
      <c r="E16" s="1">
        <v>100</v>
      </c>
      <c r="F16" s="1">
        <v>0</v>
      </c>
      <c r="G16" s="1">
        <v>111</v>
      </c>
      <c r="H16" s="1">
        <v>21</v>
      </c>
      <c r="I16" s="1">
        <v>1</v>
      </c>
      <c r="J16" s="1">
        <v>0</v>
      </c>
      <c r="K16" s="1">
        <v>2.5</v>
      </c>
      <c r="L16" s="1">
        <v>0</v>
      </c>
    </row>
    <row r="17" spans="1:12" x14ac:dyDescent="0.35">
      <c r="A17" s="23" t="str">
        <f>Rohdaten_LebensmittelEinheiten!$B17&amp;Rohdaten_LebensmittelEinheiten!$C17</f>
        <v>23Gramm</v>
      </c>
      <c r="B17" s="2">
        <v>23</v>
      </c>
      <c r="C17" s="2" t="s">
        <v>7</v>
      </c>
      <c r="D17" s="2" t="b">
        <v>0</v>
      </c>
      <c r="E17" s="2">
        <v>100</v>
      </c>
      <c r="F17" s="2">
        <v>0</v>
      </c>
      <c r="G17" s="2">
        <v>107.3</v>
      </c>
      <c r="H17" s="2">
        <v>21</v>
      </c>
      <c r="I17" s="2">
        <v>1</v>
      </c>
      <c r="J17" s="2">
        <v>0</v>
      </c>
      <c r="K17" s="2">
        <v>2</v>
      </c>
      <c r="L17" s="2">
        <v>0</v>
      </c>
    </row>
    <row r="18" spans="1:12" x14ac:dyDescent="0.35">
      <c r="A18" s="23" t="str">
        <f>Rohdaten_LebensmittelEinheiten!$B18&amp;Rohdaten_LebensmittelEinheiten!$C18</f>
        <v>24Gramm</v>
      </c>
      <c r="B18" s="1">
        <v>24</v>
      </c>
      <c r="C18" s="1" t="s">
        <v>7</v>
      </c>
      <c r="D18" s="1" t="b">
        <v>0</v>
      </c>
      <c r="E18" s="1">
        <v>100</v>
      </c>
      <c r="F18" s="1">
        <v>0</v>
      </c>
      <c r="G18" s="1">
        <v>342.5</v>
      </c>
      <c r="H18" s="1">
        <v>6.9</v>
      </c>
      <c r="I18" s="1">
        <v>77.400000000000006</v>
      </c>
      <c r="J18" s="1">
        <v>0</v>
      </c>
      <c r="K18" s="1">
        <v>0.1</v>
      </c>
      <c r="L18" s="1">
        <v>0</v>
      </c>
    </row>
    <row r="19" spans="1:12" x14ac:dyDescent="0.35">
      <c r="A19" s="23" t="str">
        <f>Rohdaten_LebensmittelEinheiten!$B19&amp;Rohdaten_LebensmittelEinheiten!$C19</f>
        <v>25Gramm</v>
      </c>
      <c r="B19" s="2">
        <v>25</v>
      </c>
      <c r="C19" s="2" t="s">
        <v>7</v>
      </c>
      <c r="D19" s="2" t="b">
        <v>0</v>
      </c>
      <c r="E19" s="2">
        <v>100</v>
      </c>
      <c r="F19" s="2">
        <v>0</v>
      </c>
      <c r="G19" s="2">
        <v>215</v>
      </c>
      <c r="H19" s="2">
        <v>14.5</v>
      </c>
      <c r="I19" s="2">
        <v>1.9</v>
      </c>
      <c r="J19" s="2">
        <v>0</v>
      </c>
      <c r="K19" s="2">
        <v>15.4</v>
      </c>
      <c r="L19" s="2">
        <v>0</v>
      </c>
    </row>
    <row r="20" spans="1:12" x14ac:dyDescent="0.35">
      <c r="A20" s="23" t="str">
        <f>Rohdaten_LebensmittelEinheiten!$B20&amp;Rohdaten_LebensmittelEinheiten!$C20</f>
        <v>26ml</v>
      </c>
      <c r="B20" s="1">
        <v>26</v>
      </c>
      <c r="C20" s="1" t="s">
        <v>4</v>
      </c>
      <c r="D20" s="1" t="b">
        <v>0</v>
      </c>
      <c r="E20" s="1">
        <v>100</v>
      </c>
      <c r="F20" s="1">
        <v>0</v>
      </c>
      <c r="G20" s="1">
        <v>47</v>
      </c>
      <c r="H20" s="1">
        <v>0</v>
      </c>
      <c r="I20" s="1">
        <v>12</v>
      </c>
      <c r="J20" s="1">
        <v>0</v>
      </c>
      <c r="K20" s="1">
        <v>0</v>
      </c>
      <c r="L20" s="1">
        <v>0</v>
      </c>
    </row>
    <row r="21" spans="1:12" x14ac:dyDescent="0.35">
      <c r="A21" s="23" t="str">
        <f>Rohdaten_LebensmittelEinheiten!$B21&amp;Rohdaten_LebensmittelEinheiten!$C21</f>
        <v>30Gramm</v>
      </c>
      <c r="B21" s="2">
        <v>30</v>
      </c>
      <c r="C21" s="2" t="s">
        <v>7</v>
      </c>
      <c r="D21" s="2" t="b">
        <v>0</v>
      </c>
      <c r="E21" s="2">
        <v>100</v>
      </c>
      <c r="F21" s="2">
        <v>0</v>
      </c>
      <c r="G21" s="2">
        <v>100</v>
      </c>
      <c r="H21" s="2">
        <v>23</v>
      </c>
      <c r="I21" s="2">
        <v>0</v>
      </c>
      <c r="J21" s="2">
        <v>0</v>
      </c>
      <c r="K21" s="2">
        <v>0.8</v>
      </c>
      <c r="L21" s="2">
        <v>0</v>
      </c>
    </row>
    <row r="22" spans="1:12" x14ac:dyDescent="0.35">
      <c r="A22" s="23" t="str">
        <f>Rohdaten_LebensmittelEinheiten!$B22&amp;Rohdaten_LebensmittelEinheiten!$C22</f>
        <v>31Gramm</v>
      </c>
      <c r="B22" s="1">
        <v>31</v>
      </c>
      <c r="C22" s="1" t="s">
        <v>7</v>
      </c>
      <c r="D22" s="1" t="b">
        <v>0</v>
      </c>
      <c r="E22" s="1">
        <v>100</v>
      </c>
      <c r="F22" s="1">
        <v>0</v>
      </c>
      <c r="G22" s="1">
        <v>370.7</v>
      </c>
      <c r="H22" s="1">
        <v>13</v>
      </c>
      <c r="I22" s="1">
        <v>62</v>
      </c>
      <c r="J22" s="1">
        <v>0</v>
      </c>
      <c r="K22" s="1">
        <v>5.9</v>
      </c>
      <c r="L22" s="1">
        <v>0</v>
      </c>
    </row>
    <row r="23" spans="1:12" x14ac:dyDescent="0.35">
      <c r="A23" s="23" t="str">
        <f>Rohdaten_LebensmittelEinheiten!$B23&amp;Rohdaten_LebensmittelEinheiten!$C23</f>
        <v>32Gramm</v>
      </c>
      <c r="B23" s="2">
        <v>32</v>
      </c>
      <c r="C23" s="2" t="s">
        <v>7</v>
      </c>
      <c r="D23" s="2" t="b">
        <v>0</v>
      </c>
      <c r="E23" s="2">
        <v>100</v>
      </c>
      <c r="F23" s="2">
        <v>0</v>
      </c>
      <c r="G23" s="2">
        <v>89.1</v>
      </c>
      <c r="H23" s="2">
        <v>1.1000000000000001</v>
      </c>
      <c r="I23" s="2">
        <v>22.9</v>
      </c>
      <c r="J23" s="2">
        <v>0</v>
      </c>
      <c r="K23" s="2">
        <v>0.3</v>
      </c>
      <c r="L23" s="2">
        <v>0</v>
      </c>
    </row>
    <row r="24" spans="1:12" x14ac:dyDescent="0.35">
      <c r="A24" s="23" t="str">
        <f>Rohdaten_LebensmittelEinheiten!$B24&amp;Rohdaten_LebensmittelEinheiten!$C24</f>
        <v>33Scheibe</v>
      </c>
      <c r="B24" s="1">
        <v>33</v>
      </c>
      <c r="C24" s="1" t="s">
        <v>31</v>
      </c>
      <c r="D24" s="1" t="b">
        <v>0</v>
      </c>
      <c r="E24" s="1">
        <v>1</v>
      </c>
      <c r="F24" s="1">
        <v>0</v>
      </c>
      <c r="G24" s="1">
        <v>14</v>
      </c>
      <c r="H24" s="1">
        <v>2.8</v>
      </c>
      <c r="I24" s="1">
        <v>0.1</v>
      </c>
      <c r="J24" s="1">
        <v>0</v>
      </c>
      <c r="K24" s="1">
        <v>0.3</v>
      </c>
      <c r="L24" s="1">
        <v>0</v>
      </c>
    </row>
    <row r="25" spans="1:12" x14ac:dyDescent="0.35">
      <c r="A25" s="23" t="str">
        <f>Rohdaten_LebensmittelEinheiten!$B25&amp;Rohdaten_LebensmittelEinheiten!$C25</f>
        <v>36Gramm</v>
      </c>
      <c r="B25" s="2">
        <v>36</v>
      </c>
      <c r="C25" s="2" t="s">
        <v>7</v>
      </c>
      <c r="D25" s="2" t="b">
        <v>0</v>
      </c>
      <c r="E25" s="2">
        <v>100</v>
      </c>
      <c r="F25" s="2">
        <v>0</v>
      </c>
      <c r="G25" s="2">
        <v>372</v>
      </c>
      <c r="H25" s="2">
        <v>13.5</v>
      </c>
      <c r="I25" s="2">
        <v>58.7</v>
      </c>
      <c r="J25" s="2">
        <v>0</v>
      </c>
      <c r="K25" s="2">
        <v>7</v>
      </c>
      <c r="L25" s="2">
        <v>0</v>
      </c>
    </row>
    <row r="26" spans="1:12" x14ac:dyDescent="0.35">
      <c r="A26" s="23" t="str">
        <f>Rohdaten_LebensmittelEinheiten!$B26&amp;Rohdaten_LebensmittelEinheiten!$C26</f>
        <v>37Gramm</v>
      </c>
      <c r="B26" s="1">
        <v>37</v>
      </c>
      <c r="C26" s="1" t="s">
        <v>7</v>
      </c>
      <c r="D26" s="1" t="b">
        <v>0</v>
      </c>
      <c r="E26" s="1">
        <v>100</v>
      </c>
      <c r="F26" s="1">
        <v>0</v>
      </c>
      <c r="G26" s="1">
        <v>193.2</v>
      </c>
      <c r="H26" s="1">
        <v>12.6</v>
      </c>
      <c r="I26" s="1">
        <v>17.399999999999999</v>
      </c>
      <c r="J26" s="1">
        <v>0</v>
      </c>
      <c r="K26" s="1">
        <v>7.7</v>
      </c>
      <c r="L26" s="1">
        <v>0</v>
      </c>
    </row>
    <row r="27" spans="1:12" x14ac:dyDescent="0.35">
      <c r="A27" s="23" t="str">
        <f>Rohdaten_LebensmittelEinheiten!$B27&amp;Rohdaten_LebensmittelEinheiten!$C27</f>
        <v>38Gramm</v>
      </c>
      <c r="B27" s="2">
        <v>38</v>
      </c>
      <c r="C27" s="2" t="s">
        <v>7</v>
      </c>
      <c r="D27" s="2" t="b">
        <v>0</v>
      </c>
      <c r="E27" s="2">
        <v>100</v>
      </c>
      <c r="F27" s="2">
        <v>0</v>
      </c>
      <c r="G27" s="2">
        <v>510.9</v>
      </c>
      <c r="H27" s="2">
        <v>4.3</v>
      </c>
      <c r="I27" s="2">
        <v>50</v>
      </c>
      <c r="J27" s="2">
        <v>0</v>
      </c>
      <c r="K27" s="2">
        <v>32</v>
      </c>
      <c r="L27" s="2">
        <v>0</v>
      </c>
    </row>
    <row r="28" spans="1:12" x14ac:dyDescent="0.35">
      <c r="A28" s="23" t="str">
        <f>Rohdaten_LebensmittelEinheiten!$B28&amp;Rohdaten_LebensmittelEinheiten!$C28</f>
        <v>39Gramm</v>
      </c>
      <c r="B28" s="1">
        <v>39</v>
      </c>
      <c r="C28" s="1" t="s">
        <v>7</v>
      </c>
      <c r="D28" s="1" t="b">
        <v>0</v>
      </c>
      <c r="E28" s="1">
        <v>100</v>
      </c>
      <c r="F28" s="1">
        <v>0</v>
      </c>
      <c r="G28" s="1">
        <v>261.2</v>
      </c>
      <c r="H28" s="1">
        <v>9</v>
      </c>
      <c r="I28" s="1">
        <v>24</v>
      </c>
      <c r="J28" s="1">
        <v>0</v>
      </c>
      <c r="K28" s="1">
        <v>14</v>
      </c>
      <c r="L28" s="1">
        <v>0</v>
      </c>
    </row>
    <row r="29" spans="1:12" x14ac:dyDescent="0.35">
      <c r="A29" s="23" t="str">
        <f>Rohdaten_LebensmittelEinheiten!$B29&amp;Rohdaten_LebensmittelEinheiten!$C29</f>
        <v>40Gramm</v>
      </c>
      <c r="B29" s="2">
        <v>40</v>
      </c>
      <c r="C29" s="2" t="s">
        <v>7</v>
      </c>
      <c r="D29" s="2" t="b">
        <v>0</v>
      </c>
      <c r="E29" s="2">
        <v>100</v>
      </c>
      <c r="F29" s="2">
        <v>0</v>
      </c>
      <c r="G29" s="2">
        <v>173.3</v>
      </c>
      <c r="H29" s="2">
        <v>36</v>
      </c>
      <c r="I29" s="2">
        <v>1.9</v>
      </c>
      <c r="J29" s="2">
        <v>0</v>
      </c>
      <c r="K29" s="2">
        <v>3</v>
      </c>
      <c r="L29" s="2">
        <v>0</v>
      </c>
    </row>
    <row r="30" spans="1:12" x14ac:dyDescent="0.35">
      <c r="A30" s="23" t="str">
        <f>Rohdaten_LebensmittelEinheiten!$B30&amp;Rohdaten_LebensmittelEinheiten!$C30</f>
        <v>41Gramm</v>
      </c>
      <c r="B30" s="1">
        <v>41</v>
      </c>
      <c r="C30" s="1" t="s">
        <v>7</v>
      </c>
      <c r="D30" s="1" t="b">
        <v>0</v>
      </c>
      <c r="E30" s="1">
        <v>100</v>
      </c>
      <c r="F30" s="1">
        <v>0</v>
      </c>
      <c r="G30" s="1">
        <v>386.6</v>
      </c>
      <c r="H30" s="1">
        <v>70.8</v>
      </c>
      <c r="I30" s="1">
        <v>11.5</v>
      </c>
      <c r="J30" s="1">
        <v>0</v>
      </c>
      <c r="K30" s="1">
        <v>6.3</v>
      </c>
      <c r="L30" s="1">
        <v>0</v>
      </c>
    </row>
    <row r="31" spans="1:12" x14ac:dyDescent="0.35">
      <c r="A31" s="23" t="str">
        <f>Rohdaten_LebensmittelEinheiten!$B31&amp;Rohdaten_LebensmittelEinheiten!$C31</f>
        <v>45Gramm</v>
      </c>
      <c r="B31" s="2">
        <v>45</v>
      </c>
      <c r="C31" s="2" t="s">
        <v>7</v>
      </c>
      <c r="D31" s="2" t="b">
        <v>0</v>
      </c>
      <c r="E31" s="2">
        <v>100</v>
      </c>
      <c r="F31" s="2">
        <v>0</v>
      </c>
      <c r="G31" s="2">
        <v>128</v>
      </c>
      <c r="H31" s="2">
        <v>20.7</v>
      </c>
      <c r="I31" s="2">
        <v>0.3</v>
      </c>
      <c r="J31" s="2">
        <v>0</v>
      </c>
      <c r="K31" s="2">
        <v>4.8</v>
      </c>
      <c r="L31" s="2">
        <v>0</v>
      </c>
    </row>
    <row r="32" spans="1:12" x14ac:dyDescent="0.35">
      <c r="A32" s="23" t="str">
        <f>Rohdaten_LebensmittelEinheiten!$B32&amp;Rohdaten_LebensmittelEinheiten!$C32</f>
        <v>67Gramm</v>
      </c>
      <c r="B32" s="1">
        <v>67</v>
      </c>
      <c r="C32" s="1" t="s">
        <v>7</v>
      </c>
      <c r="D32" s="1" t="b">
        <v>1</v>
      </c>
      <c r="E32" s="1">
        <v>100</v>
      </c>
      <c r="F32" s="1">
        <v>0</v>
      </c>
      <c r="G32" s="1">
        <v>225</v>
      </c>
      <c r="H32" s="1">
        <v>41.9</v>
      </c>
      <c r="I32" s="1">
        <v>4.8</v>
      </c>
      <c r="J32" s="1">
        <v>0.1</v>
      </c>
      <c r="K32" s="1">
        <v>0.6</v>
      </c>
      <c r="L32" s="1">
        <v>0</v>
      </c>
    </row>
    <row r="33" spans="1:12" x14ac:dyDescent="0.35">
      <c r="A33" s="23" t="str">
        <f>Rohdaten_LebensmittelEinheiten!$B33&amp;Rohdaten_LebensmittelEinheiten!$C33</f>
        <v>66Gramm</v>
      </c>
      <c r="B33" s="2">
        <v>66</v>
      </c>
      <c r="C33" s="2" t="s">
        <v>7</v>
      </c>
      <c r="D33" s="2" t="b">
        <v>1</v>
      </c>
      <c r="E33" s="2">
        <v>100</v>
      </c>
      <c r="F33" s="2">
        <v>0</v>
      </c>
      <c r="G33" s="2">
        <v>380</v>
      </c>
      <c r="H33" s="2">
        <v>77.599999999999994</v>
      </c>
      <c r="I33" s="2">
        <v>5.8</v>
      </c>
      <c r="J33" s="2">
        <v>4.4000000000000004</v>
      </c>
      <c r="K33" s="2">
        <v>5</v>
      </c>
      <c r="L33" s="2">
        <v>0</v>
      </c>
    </row>
    <row r="34" spans="1:12" x14ac:dyDescent="0.35">
      <c r="A34" s="23" t="str">
        <f>Rohdaten_LebensmittelEinheiten!$B34&amp;Rohdaten_LebensmittelEinheiten!$C34</f>
        <v>47Gramm</v>
      </c>
      <c r="B34" s="1">
        <v>47</v>
      </c>
      <c r="C34" s="1" t="s">
        <v>7</v>
      </c>
      <c r="D34" s="1" t="b">
        <v>0</v>
      </c>
      <c r="E34" s="1">
        <v>100</v>
      </c>
      <c r="F34" s="1">
        <v>0</v>
      </c>
      <c r="G34" s="1">
        <v>67</v>
      </c>
      <c r="H34" s="1">
        <v>12.2</v>
      </c>
      <c r="I34" s="1">
        <v>3.9</v>
      </c>
      <c r="J34" s="1">
        <v>0</v>
      </c>
      <c r="K34" s="1">
        <v>0.3</v>
      </c>
      <c r="L34" s="1">
        <v>0</v>
      </c>
    </row>
    <row r="35" spans="1:12" x14ac:dyDescent="0.35">
      <c r="A35" s="23" t="str">
        <f>Rohdaten_LebensmittelEinheiten!$B35&amp;Rohdaten_LebensmittelEinheiten!$C35</f>
        <v>49Gramm</v>
      </c>
      <c r="B35" s="2">
        <v>49</v>
      </c>
      <c r="C35" s="2" t="s">
        <v>7</v>
      </c>
      <c r="D35" s="2" t="b">
        <v>0</v>
      </c>
      <c r="E35" s="2">
        <v>100</v>
      </c>
      <c r="F35" s="2">
        <v>0</v>
      </c>
      <c r="G35" s="2">
        <v>241.1</v>
      </c>
      <c r="H35" s="2">
        <v>7.7</v>
      </c>
      <c r="I35" s="2">
        <v>38</v>
      </c>
      <c r="J35" s="2">
        <v>0</v>
      </c>
      <c r="K35" s="2">
        <v>4.9000000000000004</v>
      </c>
      <c r="L35" s="2">
        <v>0</v>
      </c>
    </row>
    <row r="36" spans="1:12" x14ac:dyDescent="0.35">
      <c r="A36" s="23" t="str">
        <f>Rohdaten_LebensmittelEinheiten!$B36&amp;Rohdaten_LebensmittelEinheiten!$C36</f>
        <v>50Gramm</v>
      </c>
      <c r="B36" s="1">
        <v>50</v>
      </c>
      <c r="C36" s="1" t="s">
        <v>7</v>
      </c>
      <c r="D36" s="1" t="b">
        <v>0</v>
      </c>
      <c r="E36" s="1">
        <v>100</v>
      </c>
      <c r="F36" s="1">
        <v>0</v>
      </c>
      <c r="G36" s="1">
        <v>100</v>
      </c>
      <c r="H36" s="1">
        <v>1.8</v>
      </c>
      <c r="I36" s="1">
        <v>15.7</v>
      </c>
      <c r="J36" s="1">
        <v>0</v>
      </c>
      <c r="K36" s="1">
        <v>3.5</v>
      </c>
      <c r="L36" s="1">
        <v>0</v>
      </c>
    </row>
    <row r="37" spans="1:12" x14ac:dyDescent="0.35">
      <c r="A37" s="23" t="str">
        <f>Rohdaten_LebensmittelEinheiten!$B37&amp;Rohdaten_LebensmittelEinheiten!$C37</f>
        <v>51kleine Frikadelle</v>
      </c>
      <c r="B37" s="2">
        <v>51</v>
      </c>
      <c r="C37" s="2" t="s">
        <v>38</v>
      </c>
      <c r="D37" s="2" t="b">
        <v>0</v>
      </c>
      <c r="E37" s="2">
        <v>1</v>
      </c>
      <c r="F37" s="2">
        <v>0</v>
      </c>
      <c r="G37" s="2">
        <v>204</v>
      </c>
      <c r="H37" s="2">
        <v>16.3</v>
      </c>
      <c r="I37" s="2">
        <v>4.2</v>
      </c>
      <c r="J37" s="2">
        <v>0</v>
      </c>
      <c r="K37" s="2">
        <v>13.1</v>
      </c>
      <c r="L37" s="2">
        <v>0</v>
      </c>
    </row>
    <row r="38" spans="1:12" x14ac:dyDescent="0.35">
      <c r="A38" s="23" t="str">
        <f>Rohdaten_LebensmittelEinheiten!$B38&amp;Rohdaten_LebensmittelEinheiten!$C38</f>
        <v>52Gramm</v>
      </c>
      <c r="B38" s="1">
        <v>52</v>
      </c>
      <c r="C38" s="1" t="s">
        <v>7</v>
      </c>
      <c r="D38" s="1" t="b">
        <v>0</v>
      </c>
      <c r="E38" s="1">
        <v>100</v>
      </c>
      <c r="F38" s="1">
        <v>0</v>
      </c>
      <c r="G38" s="1">
        <v>149</v>
      </c>
      <c r="H38" s="1">
        <v>2.2999999999999998</v>
      </c>
      <c r="I38" s="1">
        <v>20</v>
      </c>
      <c r="J38" s="1">
        <v>0</v>
      </c>
      <c r="K38" s="1">
        <v>7</v>
      </c>
      <c r="L38" s="1">
        <v>0</v>
      </c>
    </row>
    <row r="39" spans="1:12" x14ac:dyDescent="0.35">
      <c r="A39" s="23" t="str">
        <f>Rohdaten_LebensmittelEinheiten!$B39&amp;Rohdaten_LebensmittelEinheiten!$C39</f>
        <v>54Gramm</v>
      </c>
      <c r="B39" s="2">
        <v>54</v>
      </c>
      <c r="C39" s="2" t="s">
        <v>7</v>
      </c>
      <c r="D39" s="2" t="b">
        <v>0</v>
      </c>
      <c r="E39" s="2">
        <v>100</v>
      </c>
      <c r="F39" s="2">
        <v>0</v>
      </c>
      <c r="G39" s="2">
        <v>359.5</v>
      </c>
      <c r="H39" s="2">
        <v>23</v>
      </c>
      <c r="I39" s="2">
        <v>0.3</v>
      </c>
      <c r="J39" s="2">
        <v>0</v>
      </c>
      <c r="K39" s="2">
        <v>28.9</v>
      </c>
      <c r="L39" s="2">
        <v>0</v>
      </c>
    </row>
    <row r="40" spans="1:12" x14ac:dyDescent="0.35">
      <c r="A40" s="23" t="str">
        <f>Rohdaten_LebensmittelEinheiten!$B40&amp;Rohdaten_LebensmittelEinheiten!$C40</f>
        <v>55Gramm</v>
      </c>
      <c r="B40" s="1">
        <v>55</v>
      </c>
      <c r="C40" s="1" t="s">
        <v>7</v>
      </c>
      <c r="D40" s="1" t="b">
        <v>0</v>
      </c>
      <c r="E40" s="1">
        <v>100</v>
      </c>
      <c r="F40" s="1">
        <v>0</v>
      </c>
      <c r="G40" s="1">
        <v>147.9</v>
      </c>
      <c r="H40" s="1">
        <v>12.6</v>
      </c>
      <c r="I40" s="1">
        <v>0.8</v>
      </c>
      <c r="J40" s="1">
        <v>0</v>
      </c>
      <c r="K40" s="1">
        <v>9.9</v>
      </c>
      <c r="L40" s="1">
        <v>0</v>
      </c>
    </row>
    <row r="41" spans="1:12" x14ac:dyDescent="0.35">
      <c r="A41" s="23" t="str">
        <f>Rohdaten_LebensmittelEinheiten!$B41&amp;Rohdaten_LebensmittelEinheiten!$C41</f>
        <v>56Gramm</v>
      </c>
      <c r="B41" s="2">
        <v>56</v>
      </c>
      <c r="C41" s="2" t="s">
        <v>7</v>
      </c>
      <c r="D41" s="2" t="b">
        <v>0</v>
      </c>
      <c r="E41" s="2">
        <v>100</v>
      </c>
      <c r="F41" s="2">
        <v>0</v>
      </c>
      <c r="G41" s="2">
        <v>51</v>
      </c>
      <c r="H41" s="2">
        <v>5.4</v>
      </c>
      <c r="I41" s="2">
        <v>6.6</v>
      </c>
      <c r="J41" s="2">
        <v>0</v>
      </c>
      <c r="K41" s="2">
        <v>0.1</v>
      </c>
      <c r="L41" s="2">
        <v>0</v>
      </c>
    </row>
    <row r="42" spans="1:12" x14ac:dyDescent="0.35">
      <c r="A42" s="23" t="str">
        <f>Rohdaten_LebensmittelEinheiten!$B42&amp;Rohdaten_LebensmittelEinheiten!$C42</f>
        <v>57Gramm</v>
      </c>
      <c r="B42" s="1">
        <v>57</v>
      </c>
      <c r="C42" s="1" t="s">
        <v>7</v>
      </c>
      <c r="D42" s="1" t="b">
        <v>0</v>
      </c>
      <c r="E42" s="1">
        <v>100</v>
      </c>
      <c r="F42" s="1">
        <v>0</v>
      </c>
      <c r="G42" s="1">
        <v>292.5</v>
      </c>
      <c r="H42" s="1">
        <v>2.5</v>
      </c>
      <c r="I42" s="1">
        <v>3</v>
      </c>
      <c r="J42" s="1">
        <v>0</v>
      </c>
      <c r="K42" s="1">
        <v>30</v>
      </c>
      <c r="L42" s="1">
        <v>0</v>
      </c>
    </row>
    <row r="43" spans="1:12" x14ac:dyDescent="0.35">
      <c r="A43" s="23" t="str">
        <f>Rohdaten_LebensmittelEinheiten!$B43&amp;Rohdaten_LebensmittelEinheiten!$C43</f>
        <v>58Gramm</v>
      </c>
      <c r="B43" s="2">
        <v>58</v>
      </c>
      <c r="C43" s="2" t="s">
        <v>7</v>
      </c>
      <c r="D43" s="2" t="b">
        <v>0</v>
      </c>
      <c r="E43" s="2">
        <v>100</v>
      </c>
      <c r="F43" s="2">
        <v>0</v>
      </c>
      <c r="G43" s="2">
        <v>354.3</v>
      </c>
      <c r="H43" s="2">
        <v>13.7</v>
      </c>
      <c r="I43" s="2">
        <v>67.3</v>
      </c>
      <c r="J43" s="2">
        <v>0</v>
      </c>
      <c r="K43" s="2">
        <v>2.1</v>
      </c>
      <c r="L43" s="2">
        <v>0</v>
      </c>
    </row>
    <row r="44" spans="1:12" x14ac:dyDescent="0.35">
      <c r="A44" s="23" t="str">
        <f>Rohdaten_LebensmittelEinheiten!$B44&amp;Rohdaten_LebensmittelEinheiten!$C44</f>
        <v>59Gramm</v>
      </c>
      <c r="B44" s="1">
        <v>59</v>
      </c>
      <c r="C44" s="1" t="s">
        <v>7</v>
      </c>
      <c r="D44" s="1" t="b">
        <v>0</v>
      </c>
      <c r="E44" s="1">
        <v>100</v>
      </c>
      <c r="F44" s="1">
        <v>0</v>
      </c>
      <c r="G44" s="1">
        <v>129.1</v>
      </c>
      <c r="H44" s="1">
        <v>21</v>
      </c>
      <c r="I44" s="1">
        <v>0</v>
      </c>
      <c r="J44" s="1">
        <v>0</v>
      </c>
      <c r="K44" s="1">
        <v>5</v>
      </c>
      <c r="L44" s="1">
        <v>0</v>
      </c>
    </row>
    <row r="45" spans="1:12" x14ac:dyDescent="0.35">
      <c r="A45" s="23" t="str">
        <f>Rohdaten_LebensmittelEinheiten!$B45&amp;Rohdaten_LebensmittelEinheiten!$C45</f>
        <v>61Gramm</v>
      </c>
      <c r="B45" s="2">
        <v>61</v>
      </c>
      <c r="C45" s="2" t="s">
        <v>7</v>
      </c>
      <c r="D45" s="2" t="b">
        <v>0</v>
      </c>
      <c r="E45" s="2">
        <v>100</v>
      </c>
      <c r="F45" s="2">
        <v>0</v>
      </c>
      <c r="G45" s="2">
        <v>76</v>
      </c>
      <c r="H45" s="2">
        <v>3.2</v>
      </c>
      <c r="I45" s="2">
        <v>11</v>
      </c>
      <c r="J45" s="2">
        <v>0</v>
      </c>
      <c r="K45" s="2">
        <v>1.4</v>
      </c>
      <c r="L45" s="2">
        <v>0</v>
      </c>
    </row>
    <row r="46" spans="1:12" x14ac:dyDescent="0.35">
      <c r="A46" s="23" t="str">
        <f>Rohdaten_LebensmittelEinheiten!$B46&amp;Rohdaten_LebensmittelEinheiten!$C46</f>
        <v>63Gramm</v>
      </c>
      <c r="B46" s="1">
        <v>63</v>
      </c>
      <c r="C46" s="1" t="s">
        <v>7</v>
      </c>
      <c r="D46" s="1" t="b">
        <v>0</v>
      </c>
      <c r="E46" s="1">
        <v>100</v>
      </c>
      <c r="F46" s="1">
        <v>0</v>
      </c>
      <c r="G46" s="1">
        <v>161</v>
      </c>
      <c r="H46" s="1">
        <v>19</v>
      </c>
      <c r="I46" s="1">
        <v>10</v>
      </c>
      <c r="J46" s="1">
        <v>0</v>
      </c>
      <c r="K46" s="1">
        <v>3.5</v>
      </c>
      <c r="L46" s="1">
        <v>0</v>
      </c>
    </row>
    <row r="47" spans="1:12" x14ac:dyDescent="0.35">
      <c r="A47" s="23" t="str">
        <f>Rohdaten_LebensmittelEinheiten!$B47&amp;Rohdaten_LebensmittelEinheiten!$C47</f>
        <v>64ml</v>
      </c>
      <c r="B47" s="2">
        <v>64</v>
      </c>
      <c r="C47" s="2" t="s">
        <v>4</v>
      </c>
      <c r="D47" s="2" t="b">
        <v>0</v>
      </c>
      <c r="E47" s="2">
        <v>100</v>
      </c>
      <c r="F47" s="2">
        <v>0</v>
      </c>
      <c r="G47" s="2">
        <v>19</v>
      </c>
      <c r="H47" s="2">
        <v>0</v>
      </c>
      <c r="I47" s="2">
        <v>5.2</v>
      </c>
      <c r="J47" s="2">
        <v>0</v>
      </c>
      <c r="K47" s="2">
        <v>0</v>
      </c>
      <c r="L47" s="2">
        <v>0</v>
      </c>
    </row>
    <row r="48" spans="1:12" x14ac:dyDescent="0.35">
      <c r="A48" s="23" t="str">
        <f>Rohdaten_LebensmittelEinheiten!$B48&amp;Rohdaten_LebensmittelEinheiten!$C48</f>
        <v>12Gramm</v>
      </c>
      <c r="B48" s="2">
        <v>12</v>
      </c>
      <c r="C48" s="2" t="s">
        <v>7</v>
      </c>
      <c r="D48" s="2" t="b">
        <v>0</v>
      </c>
      <c r="E48" s="2">
        <v>100</v>
      </c>
      <c r="F48" s="2">
        <v>50</v>
      </c>
      <c r="G48" s="2">
        <v>302</v>
      </c>
      <c r="H48" s="2">
        <v>39</v>
      </c>
      <c r="I48" s="2">
        <v>28</v>
      </c>
      <c r="J48" s="2">
        <v>21</v>
      </c>
      <c r="K48" s="2">
        <v>39</v>
      </c>
      <c r="L48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B0402-3192-4F83-99B8-C3F8D37BCE25}">
  <sheetPr codeName="Tabelle15"/>
  <dimension ref="A1:F2"/>
  <sheetViews>
    <sheetView workbookViewId="0">
      <selection activeCell="A2" sqref="A2:D2"/>
    </sheetView>
  </sheetViews>
  <sheetFormatPr baseColWidth="10" defaultRowHeight="14.5" x14ac:dyDescent="0.35"/>
  <cols>
    <col min="5" max="5" width="17.90625" bestFit="1" customWidth="1"/>
    <col min="6" max="6" width="14.1796875" bestFit="1" customWidth="1"/>
  </cols>
  <sheetData>
    <row r="1" spans="1:6" x14ac:dyDescent="0.35">
      <c r="A1" t="s">
        <v>84</v>
      </c>
      <c r="B1" t="s">
        <v>137</v>
      </c>
      <c r="C1" t="s">
        <v>138</v>
      </c>
      <c r="D1" t="s">
        <v>141</v>
      </c>
      <c r="E1" t="s">
        <v>142</v>
      </c>
      <c r="F1" t="s">
        <v>143</v>
      </c>
    </row>
    <row r="2" spans="1:6" x14ac:dyDescent="0.35">
      <c r="A2" s="26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3BEE-3D82-4A80-99EE-5A189356A935}">
  <sheetPr codeName="Tabelle11">
    <tabColor theme="5" tint="0.59999389629810485"/>
  </sheetPr>
  <dimension ref="A1:J2"/>
  <sheetViews>
    <sheetView workbookViewId="0">
      <selection activeCell="A2" sqref="A2:D2"/>
    </sheetView>
  </sheetViews>
  <sheetFormatPr baseColWidth="10" defaultRowHeight="14.5" x14ac:dyDescent="0.35"/>
  <sheetData>
    <row r="1" spans="1:10" x14ac:dyDescent="0.35">
      <c r="A1" t="s">
        <v>84</v>
      </c>
      <c r="B1" t="s">
        <v>128</v>
      </c>
      <c r="C1" t="s">
        <v>95</v>
      </c>
      <c r="D1" t="s">
        <v>129</v>
      </c>
    </row>
    <row r="2" spans="1:10" x14ac:dyDescent="0.35">
      <c r="A2" s="26">
        <f ca="1">TODAY()</f>
        <v>44747</v>
      </c>
      <c r="B2">
        <v>110</v>
      </c>
      <c r="C2">
        <v>20</v>
      </c>
      <c r="D2">
        <v>29</v>
      </c>
      <c r="J2" s="26"/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415C7-072B-4FDD-9E6E-79540D529ACA}">
  <sheetPr codeName="Tabelle16">
    <tabColor theme="8" tint="0.59999389629810485"/>
  </sheetPr>
  <dimension ref="A1:C5"/>
  <sheetViews>
    <sheetView workbookViewId="0">
      <selection activeCell="M46" sqref="M46"/>
    </sheetView>
  </sheetViews>
  <sheetFormatPr baseColWidth="10" defaultRowHeight="14.5" x14ac:dyDescent="0.35"/>
  <cols>
    <col min="1" max="1" width="17.7265625" customWidth="1"/>
    <col min="2" max="2" width="90.08984375" bestFit="1" customWidth="1"/>
  </cols>
  <sheetData>
    <row r="1" spans="1:3" x14ac:dyDescent="0.35">
      <c r="A1" s="19" t="s">
        <v>155</v>
      </c>
      <c r="B1" s="19" t="s">
        <v>156</v>
      </c>
      <c r="C1" s="19" t="s">
        <v>157</v>
      </c>
    </row>
    <row r="2" spans="1:3" x14ac:dyDescent="0.35">
      <c r="A2" s="1" t="s">
        <v>158</v>
      </c>
      <c r="B2" s="1" t="str">
        <f ca="1">_xlfn.FORMULATEXT(C2)</f>
        <v>=WENNFEHLER(SVERWEIS(MAX(TblBody[Datum]);TblBody[#Alle];VERGLEICH("Gewicht";TblBody[#Kopfzeilen];0);FALSCH);0)</v>
      </c>
      <c r="C2" s="1">
        <f ca="1">IFERROR(VLOOKUP(MAX(TblBody[Datum]),TblBody[#All],MATCH("Gewicht",TblBody[#Headers],0),FALSE),0)</f>
        <v>110</v>
      </c>
    </row>
    <row r="3" spans="1:3" x14ac:dyDescent="0.35">
      <c r="A3" s="39" t="s">
        <v>160</v>
      </c>
      <c r="B3" s="39" t="str">
        <f ca="1">_xlfn.FORMULATEXT(C3)</f>
        <v>=WENNFEHLER(SVERWEIS(MAX(TblBody[Datum]);TblBody[#Alle];VERGLEICH("Fett";TblBody[#Kopfzeilen];0);FALSCH);0)</v>
      </c>
      <c r="C3" s="39">
        <f ca="1">IFERROR(VLOOKUP(MAX(TblBody[Datum]),TblBody[#All],MATCH("Fett",TblBody[#Headers],0),FALSE),0)</f>
        <v>20</v>
      </c>
    </row>
    <row r="4" spans="1:3" x14ac:dyDescent="0.35">
      <c r="A4" s="1" t="s">
        <v>163</v>
      </c>
      <c r="B4" s="52" t="str">
        <f t="shared" ref="B4:B5" ca="1" si="0">_xlfn.FORMULATEXT(C4)</f>
        <v>=Text_St_Size</v>
      </c>
      <c r="C4" s="52">
        <f>Text_St_Size</f>
        <v>193</v>
      </c>
    </row>
    <row r="5" spans="1:3" x14ac:dyDescent="0.35">
      <c r="A5" s="39" t="s">
        <v>159</v>
      </c>
      <c r="B5" s="39" t="str">
        <f t="shared" ca="1" si="0"/>
        <v>=Text_St_Age</v>
      </c>
      <c r="C5" s="39">
        <f ca="1">Text_St_Age</f>
        <v>28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62A5B-C755-4DD8-A6F3-4E8E80E7345E}">
  <sheetPr codeName="Tabelle17">
    <tabColor theme="8" tint="0.59999389629810485"/>
  </sheetPr>
  <dimension ref="A1:E5"/>
  <sheetViews>
    <sheetView workbookViewId="0">
      <selection activeCell="C3" sqref="C3"/>
    </sheetView>
  </sheetViews>
  <sheetFormatPr baseColWidth="10" defaultRowHeight="14.5" x14ac:dyDescent="0.35"/>
  <cols>
    <col min="2" max="2" width="13.90625" bestFit="1" customWidth="1"/>
    <col min="3" max="3" width="60.26953125" bestFit="1" customWidth="1"/>
    <col min="4" max="4" width="44.08984375" bestFit="1" customWidth="1"/>
    <col min="5" max="5" width="16.08984375" customWidth="1"/>
  </cols>
  <sheetData>
    <row r="1" spans="1:5" x14ac:dyDescent="0.35">
      <c r="A1" t="s">
        <v>166</v>
      </c>
      <c r="B1" t="s">
        <v>168</v>
      </c>
      <c r="C1" t="s">
        <v>172</v>
      </c>
      <c r="D1" t="s">
        <v>173</v>
      </c>
      <c r="E1" t="s">
        <v>174</v>
      </c>
    </row>
    <row r="2" spans="1:5" x14ac:dyDescent="0.35">
      <c r="A2" t="s">
        <v>153</v>
      </c>
      <c r="B2" t="s">
        <v>169</v>
      </c>
      <c r="C2" t="s">
        <v>175</v>
      </c>
      <c r="D2" t="s">
        <v>176</v>
      </c>
      <c r="E2" s="36">
        <f>9.99 * 110 + 6.25 * 193 - 4.92*28 + 5</f>
        <v>2172.3900000000003</v>
      </c>
    </row>
    <row r="3" spans="1:5" x14ac:dyDescent="0.35">
      <c r="A3" t="s">
        <v>153</v>
      </c>
      <c r="B3" t="s">
        <v>170</v>
      </c>
      <c r="E3" s="36"/>
    </row>
    <row r="4" spans="1:5" x14ac:dyDescent="0.35">
      <c r="A4" t="s">
        <v>153</v>
      </c>
      <c r="B4" t="s">
        <v>171</v>
      </c>
      <c r="C4" t="s">
        <v>177</v>
      </c>
      <c r="D4" t="s">
        <v>178</v>
      </c>
      <c r="E4" s="36">
        <f>864 - 9.72 * 28 + 1 * (14.2 * 110 + 503 * (193/100))</f>
        <v>3124.63</v>
      </c>
    </row>
    <row r="5" spans="1:5" x14ac:dyDescent="0.35">
      <c r="A5" t="s">
        <v>153</v>
      </c>
      <c r="B5" t="s">
        <v>179</v>
      </c>
      <c r="E5" s="36">
        <f>E4+E3</f>
        <v>3124.63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BDF31-741E-4B3D-8DF7-83723EDC28E8}">
  <sheetPr codeName="Tabelle7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86F5A0-A5C6-4A39-BAF2-B73F61F7E5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39</vt:i4>
      </vt:variant>
    </vt:vector>
  </HeadingPairs>
  <TitlesOfParts>
    <vt:vector size="57" baseType="lpstr">
      <vt:lpstr>Dashboard</vt:lpstr>
      <vt:lpstr>Dashboard Ernährung</vt:lpstr>
      <vt:lpstr>Dashboard Lebensmittel</vt:lpstr>
      <vt:lpstr>Dashboard Körper</vt:lpstr>
      <vt:lpstr>Einstellungen</vt:lpstr>
      <vt:lpstr>Rohdaten_Arbeitstage</vt:lpstr>
      <vt:lpstr>Stammdaten_Trainingsarten</vt:lpstr>
      <vt:lpstr>Rohdaten_Zusammenfassung</vt:lpstr>
      <vt:lpstr>Rohdaten_Nährstoffverteilung</vt:lpstr>
      <vt:lpstr>Rohdaten_PlanMahlzeit</vt:lpstr>
      <vt:lpstr>Rohdaten_MahlzeitLebensmittel</vt:lpstr>
      <vt:lpstr>Rohdaten_Lebensmittel</vt:lpstr>
      <vt:lpstr>Rohdaten_LebensmittelEinheiten</vt:lpstr>
      <vt:lpstr>Rohdaten_Aktivitäten</vt:lpstr>
      <vt:lpstr>Rohdaten_Körper</vt:lpstr>
      <vt:lpstr>Rohdaten_KPIs</vt:lpstr>
      <vt:lpstr>Rohdaten_Kalorienformeln</vt:lpstr>
      <vt:lpstr>Templates</vt:lpstr>
      <vt:lpstr>Check_Nt_IsCheatmeal</vt:lpstr>
      <vt:lpstr>List_Bd_BodyEntries</vt:lpstr>
      <vt:lpstr>'Dashboard Lebensmittel'!List_Fd_FoodEntries</vt:lpstr>
      <vt:lpstr>List_Fd_FoodSelectedUnits</vt:lpstr>
      <vt:lpstr>List_Nt_FoodEntries</vt:lpstr>
      <vt:lpstr>List_Nt_FoodSelectedUnits</vt:lpstr>
      <vt:lpstr>List_Nt_PlanEntries</vt:lpstr>
      <vt:lpstr>List_Nt_Weekday</vt:lpstr>
      <vt:lpstr>List_St_CaloriesFormulaSource</vt:lpstr>
      <vt:lpstr>List_St_FormulaTypes</vt:lpstr>
      <vt:lpstr>List_St_KPIs</vt:lpstr>
      <vt:lpstr>'Dashboard Lebensmittel'!NutritionDashboardNavigationBar</vt:lpstr>
      <vt:lpstr>NutritionDashboardNavigationBar</vt:lpstr>
      <vt:lpstr>Text_Bd_SearchDateFrom</vt:lpstr>
      <vt:lpstr>Text_Bd_SearchFat</vt:lpstr>
      <vt:lpstr>Text_Bd_SearchWeight</vt:lpstr>
      <vt:lpstr>'Dashboard Lebensmittel'!Text_Fd_FoodSelectedBrand</vt:lpstr>
      <vt:lpstr>'Dashboard Lebensmittel'!Text_Fd_FoodSelectedName</vt:lpstr>
      <vt:lpstr>'Dashboard Lebensmittel'!Text_Fd_SearchBrand</vt:lpstr>
      <vt:lpstr>'Dashboard Lebensmittel'!Text_Fd_SearchFood</vt:lpstr>
      <vt:lpstr>'Dashboard Lebensmittel'!Text_Fd_SearchTop</vt:lpstr>
      <vt:lpstr>Text_Fd_SelectedFoodUnitAmount</vt:lpstr>
      <vt:lpstr>Text_Nt_DateFrom</vt:lpstr>
      <vt:lpstr>Text_Nt_DateTo</vt:lpstr>
      <vt:lpstr>Text_Nt_FoodSelectedAmount</vt:lpstr>
      <vt:lpstr>Text_Nt_FoodSelectedBrand</vt:lpstr>
      <vt:lpstr>Text_Nt_FoodSelectedName</vt:lpstr>
      <vt:lpstr>Text_Nt_MealId</vt:lpstr>
      <vt:lpstr>Text_Nt_SearchBrand</vt:lpstr>
      <vt:lpstr>Text_Nt_SearchFood</vt:lpstr>
      <vt:lpstr>Text_Nt_SearchTop</vt:lpstr>
      <vt:lpstr>Text_St_Age</vt:lpstr>
      <vt:lpstr>Text_St_Birthday</vt:lpstr>
      <vt:lpstr>Text_St_CaloriesFormulaResult</vt:lpstr>
      <vt:lpstr>Text_St_CaloriesFormulaText</vt:lpstr>
      <vt:lpstr>Text_St_CaloriesFormulaValues</vt:lpstr>
      <vt:lpstr>Text_St_Gender</vt:lpstr>
      <vt:lpstr>Text_St_Size</vt:lpstr>
      <vt:lpstr>Text_St_StartDate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Bädorf</dc:creator>
  <cp:lastModifiedBy>Matthias Bädorf</cp:lastModifiedBy>
  <dcterms:created xsi:type="dcterms:W3CDTF">2022-04-06T14:58:31Z</dcterms:created>
  <dcterms:modified xsi:type="dcterms:W3CDTF">2022-07-05T19:38:08Z</dcterms:modified>
</cp:coreProperties>
</file>